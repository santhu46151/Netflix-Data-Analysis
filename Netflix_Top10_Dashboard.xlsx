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Data" sheetId="3" state="visible" r:id="rId5"/>
    <sheet name="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<sst xmlns="http://schemas.openxmlformats.org/spreadsheetml/2006/main" count="1448" uniqueCount="200">
  <si>
    <t xml:space="preserve">NETFLIX TOP 10 — WEEKLY PERFORMANCE DASHBOARD</t>
  </si>
  <si>
    <t xml:space="preserve">TOTAL HOURS VIEWED (LATEST WEEK)</t>
  </si>
  <si>
    <t xml:space="preserve">TOTAL VIEWS (LATEST WEEK)</t>
  </si>
  <si>
    <t xml:space="preserve">TITLES TRACKED (LATEST WEEK)</t>
  </si>
  <si>
    <t xml:space="preserve">LONGEST STREAK (WEEKS IN TOP 10)</t>
  </si>
  <si>
    <t xml:space="preserve">WEEKS OF HISTORY IN THIS FILE</t>
  </si>
  <si>
    <t xml:space="preserve">By Category — Most Recent Week</t>
  </si>
  <si>
    <t xml:space="preserve">Category</t>
  </si>
  <si>
    <t xml:space="preserve">Hours Viewed</t>
  </si>
  <si>
    <t xml:space="preserve">Views</t>
  </si>
  <si>
    <t xml:space="preserve">Titles in Top 10</t>
  </si>
  <si>
    <t xml:space="preserve">Avg Weeks in Top 10</t>
  </si>
  <si>
    <t xml:space="preserve">Films (English)</t>
  </si>
  <si>
    <t xml:space="preserve">Films (Non-English)</t>
  </si>
  <si>
    <t xml:space="preserve">TV (English)</t>
  </si>
  <si>
    <t xml:space="preserve">TV (Non-English)</t>
  </si>
  <si>
    <t xml:space="preserve">Weekly Trend — Total Hours Viewed (All Categories)</t>
  </si>
  <si>
    <t xml:space="preserve">Week</t>
  </si>
  <si>
    <t xml:space="preserve">Total Hours Viewed</t>
  </si>
  <si>
    <t xml:space="preserve">Weekly Trend — Hours Viewed by Category</t>
  </si>
  <si>
    <t xml:space="preserve">Most Recent Week — Top 10: Films (English)</t>
  </si>
  <si>
    <t xml:space="preserve">Rank</t>
  </si>
  <si>
    <t xml:space="preserve">Title</t>
  </si>
  <si>
    <t xml:space="preserve">category</t>
  </si>
  <si>
    <t xml:space="preserve">week</t>
  </si>
  <si>
    <t xml:space="preserve">show_title</t>
  </si>
  <si>
    <t xml:space="preserve">season_title</t>
  </si>
  <si>
    <t xml:space="preserve">cumulative_weeks_in_top10</t>
  </si>
  <si>
    <t xml:space="preserve">weekly_rank</t>
  </si>
  <si>
    <t xml:space="preserve">weekly_hours_viewed</t>
  </si>
  <si>
    <t xml:space="preserve">weekly_views</t>
  </si>
  <si>
    <t xml:space="preserve">runtime</t>
  </si>
  <si>
    <t xml:space="preserve">Midnight Cargo</t>
  </si>
  <si>
    <t xml:space="preserve">1:07</t>
  </si>
  <si>
    <t xml:space="preserve">The Last Signal</t>
  </si>
  <si>
    <t xml:space="preserve">1:55</t>
  </si>
  <si>
    <t xml:space="preserve">Echo Park</t>
  </si>
  <si>
    <t xml:space="preserve">2:08</t>
  </si>
  <si>
    <t xml:space="preserve">Glass Harbor</t>
  </si>
  <si>
    <t xml:space="preserve">0:42</t>
  </si>
  <si>
    <t xml:space="preserve">Quiet Storm</t>
  </si>
  <si>
    <t xml:space="preserve">1:32</t>
  </si>
  <si>
    <t xml:space="preserve">Heist at Dawn</t>
  </si>
  <si>
    <t xml:space="preserve">1:58</t>
  </si>
  <si>
    <t xml:space="preserve">Ridgeline</t>
  </si>
  <si>
    <t xml:space="preserve">1:36</t>
  </si>
  <si>
    <t xml:space="preserve">Northbound</t>
  </si>
  <si>
    <t xml:space="preserve">1:43</t>
  </si>
  <si>
    <t xml:space="preserve">Saltwater</t>
  </si>
  <si>
    <t xml:space="preserve">1:29</t>
  </si>
  <si>
    <t xml:space="preserve">Vermillion Heights</t>
  </si>
  <si>
    <t xml:space="preserve">1:54</t>
  </si>
  <si>
    <t xml:space="preserve">Stille Nacht</t>
  </si>
  <si>
    <t xml:space="preserve">0:53</t>
  </si>
  <si>
    <t xml:space="preserve">Il Silenzio</t>
  </si>
  <si>
    <t xml:space="preserve">0:51</t>
  </si>
  <si>
    <t xml:space="preserve">Dunkler Wald</t>
  </si>
  <si>
    <t xml:space="preserve">1:59</t>
  </si>
  <si>
    <t xml:space="preserve">La Casa Roja</t>
  </si>
  <si>
    <t xml:space="preserve">0:59</t>
  </si>
  <si>
    <t xml:space="preserve">Khoonsard</t>
  </si>
  <si>
    <t xml:space="preserve">1:35</t>
  </si>
  <si>
    <t xml:space="preserve">Le Dernier Train</t>
  </si>
  <si>
    <t xml:space="preserve">1:57</t>
  </si>
  <si>
    <t xml:space="preserve">Cidade Perdida</t>
  </si>
  <si>
    <t xml:space="preserve">Han River Nights</t>
  </si>
  <si>
    <t xml:space="preserve">1:14</t>
  </si>
  <si>
    <t xml:space="preserve">Sable et Sel</t>
  </si>
  <si>
    <t xml:space="preserve">2:25</t>
  </si>
  <si>
    <t xml:space="preserve">Kage no Machi</t>
  </si>
  <si>
    <t xml:space="preserve">Driftwood</t>
  </si>
  <si>
    <t xml:space="preserve">Season 2</t>
  </si>
  <si>
    <t xml:space="preserve">2:03</t>
  </si>
  <si>
    <t xml:space="preserve">The Quiet Ward</t>
  </si>
  <si>
    <t xml:space="preserve">1:01</t>
  </si>
  <si>
    <t xml:space="preserve">Maternal Instinct</t>
  </si>
  <si>
    <t xml:space="preserve">Season 1</t>
  </si>
  <si>
    <t xml:space="preserve">1:53</t>
  </si>
  <si>
    <t xml:space="preserve">The Long Shift</t>
  </si>
  <si>
    <t xml:space="preserve">1:00</t>
  </si>
  <si>
    <t xml:space="preserve">Backline</t>
  </si>
  <si>
    <t xml:space="preserve">Season 3</t>
  </si>
  <si>
    <t xml:space="preserve">Pier 9</t>
  </si>
  <si>
    <t xml:space="preserve">1:30</t>
  </si>
  <si>
    <t xml:space="preserve">Sweet Magnolias</t>
  </si>
  <si>
    <t xml:space="preserve">1:13</t>
  </si>
  <si>
    <t xml:space="preserve">Lower Dispatch</t>
  </si>
  <si>
    <t xml:space="preserve">1:27</t>
  </si>
  <si>
    <t xml:space="preserve">Cul-de-Sac</t>
  </si>
  <si>
    <t xml:space="preserve">0:49</t>
  </si>
  <si>
    <t xml:space="preserve">Falcon's Rest</t>
  </si>
  <si>
    <t xml:space="preserve">Tormenta Roja</t>
  </si>
  <si>
    <t xml:space="preserve">2:26</t>
  </si>
  <si>
    <t xml:space="preserve">Hora Cero</t>
  </si>
  <si>
    <t xml:space="preserve">1:50</t>
  </si>
  <si>
    <t xml:space="preserve">Notte Bianca</t>
  </si>
  <si>
    <t xml:space="preserve">2:19</t>
  </si>
  <si>
    <t xml:space="preserve">Kawa no Oto</t>
  </si>
  <si>
    <t xml:space="preserve">Casa de Engano</t>
  </si>
  <si>
    <t xml:space="preserve">Filho da Lua</t>
  </si>
  <si>
    <t xml:space="preserve">0:58</t>
  </si>
  <si>
    <t xml:space="preserve">L'Heritage</t>
  </si>
  <si>
    <t xml:space="preserve">2:13</t>
  </si>
  <si>
    <t xml:space="preserve">Vento do Norte</t>
  </si>
  <si>
    <t xml:space="preserve">0:54</t>
  </si>
  <si>
    <t xml:space="preserve">Yeoui Sigan</t>
  </si>
  <si>
    <t xml:space="preserve">0:44</t>
  </si>
  <si>
    <t xml:space="preserve">Solntse Nochyu</t>
  </si>
  <si>
    <t xml:space="preserve">1:26</t>
  </si>
  <si>
    <t xml:space="preserve">1:03</t>
  </si>
  <si>
    <t xml:space="preserve">2:01</t>
  </si>
  <si>
    <t xml:space="preserve">2:22</t>
  </si>
  <si>
    <t xml:space="preserve">0:56</t>
  </si>
  <si>
    <t xml:space="preserve">1:34</t>
  </si>
  <si>
    <t xml:space="preserve">Crimson Tide Rising</t>
  </si>
  <si>
    <t xml:space="preserve">1:38</t>
  </si>
  <si>
    <t xml:space="preserve">1:12</t>
  </si>
  <si>
    <t xml:space="preserve">1:39</t>
  </si>
  <si>
    <t xml:space="preserve">1:08</t>
  </si>
  <si>
    <t xml:space="preserve">2:12</t>
  </si>
  <si>
    <t xml:space="preserve">2:10</t>
  </si>
  <si>
    <t xml:space="preserve">1:33</t>
  </si>
  <si>
    <t xml:space="preserve">1:46</t>
  </si>
  <si>
    <t xml:space="preserve">1:16</t>
  </si>
  <si>
    <t xml:space="preserve">1:15</t>
  </si>
  <si>
    <t xml:space="preserve">Office Romance</t>
  </si>
  <si>
    <t xml:space="preserve">1:49</t>
  </si>
  <si>
    <t xml:space="preserve">1:56</t>
  </si>
  <si>
    <t xml:space="preserve">0:48</t>
  </si>
  <si>
    <t xml:space="preserve">1:18</t>
  </si>
  <si>
    <t xml:space="preserve">1:25</t>
  </si>
  <si>
    <t xml:space="preserve">2:29</t>
  </si>
  <si>
    <t xml:space="preserve">0:47</t>
  </si>
  <si>
    <t xml:space="preserve">Rue des Ombres</t>
  </si>
  <si>
    <t xml:space="preserve">2:21</t>
  </si>
  <si>
    <t xml:space="preserve">1:48</t>
  </si>
  <si>
    <t xml:space="preserve">The Forgotten Wing</t>
  </si>
  <si>
    <t xml:space="preserve">1:11</t>
  </si>
  <si>
    <t xml:space="preserve">1:45</t>
  </si>
  <si>
    <t xml:space="preserve">0:52</t>
  </si>
  <si>
    <t xml:space="preserve">1:31</t>
  </si>
  <si>
    <t xml:space="preserve">2:27</t>
  </si>
  <si>
    <t xml:space="preserve">Zolotaya Noch</t>
  </si>
  <si>
    <t xml:space="preserve">2:05</t>
  </si>
  <si>
    <t xml:space="preserve">Aurora Negra</t>
  </si>
  <si>
    <t xml:space="preserve">0:46</t>
  </si>
  <si>
    <t xml:space="preserve">1:09</t>
  </si>
  <si>
    <t xml:space="preserve">0:55</t>
  </si>
  <si>
    <t xml:space="preserve">2:24</t>
  </si>
  <si>
    <t xml:space="preserve">1:23</t>
  </si>
  <si>
    <t xml:space="preserve">2:00</t>
  </si>
  <si>
    <t xml:space="preserve">2:23</t>
  </si>
  <si>
    <t xml:space="preserve">1:02</t>
  </si>
  <si>
    <t xml:space="preserve">0:43</t>
  </si>
  <si>
    <t xml:space="preserve">2:14</t>
  </si>
  <si>
    <t xml:space="preserve">2:28</t>
  </si>
  <si>
    <t xml:space="preserve">2:04</t>
  </si>
  <si>
    <t xml:space="preserve">1:40</t>
  </si>
  <si>
    <t xml:space="preserve">1:21</t>
  </si>
  <si>
    <t xml:space="preserve">1:24</t>
  </si>
  <si>
    <t xml:space="preserve">2:20</t>
  </si>
  <si>
    <t xml:space="preserve">1:19</t>
  </si>
  <si>
    <t xml:space="preserve">0:50</t>
  </si>
  <si>
    <t xml:space="preserve">1:41</t>
  </si>
  <si>
    <t xml:space="preserve">2:18</t>
  </si>
  <si>
    <t xml:space="preserve">2:06</t>
  </si>
  <si>
    <t xml:space="preserve">1:37</t>
  </si>
  <si>
    <t xml:space="preserve">1:10</t>
  </si>
  <si>
    <t xml:space="preserve">2:15</t>
  </si>
  <si>
    <t xml:space="preserve">1:06</t>
  </si>
  <si>
    <t xml:space="preserve">2:11</t>
  </si>
  <si>
    <t xml:space="preserve">0:57</t>
  </si>
  <si>
    <t xml:space="preserve">1:44</t>
  </si>
  <si>
    <t xml:space="preserve">1:28</t>
  </si>
  <si>
    <t xml:space="preserve">1:20</t>
  </si>
  <si>
    <t xml:space="preserve">Schattenspiel</t>
  </si>
  <si>
    <t xml:space="preserve">1:51</t>
  </si>
  <si>
    <t xml:space="preserve">1:52</t>
  </si>
  <si>
    <t xml:space="preserve">1:17</t>
  </si>
  <si>
    <t xml:space="preserve">1:04</t>
  </si>
  <si>
    <t xml:space="preserve">1:22</t>
  </si>
  <si>
    <t xml:space="preserve">1:42</t>
  </si>
  <si>
    <t xml:space="preserve">2:02</t>
  </si>
  <si>
    <t xml:space="preserve">1:47</t>
  </si>
  <si>
    <t xml:space="preserve">0:45</t>
  </si>
  <si>
    <t xml:space="preserve">1:05</t>
  </si>
  <si>
    <t xml:space="preserve">2:09</t>
  </si>
  <si>
    <t xml:space="preserve">2:17</t>
  </si>
  <si>
    <t xml:space="preserve">2:07</t>
  </si>
  <si>
    <t xml:space="preserve">Greyfield Manor</t>
  </si>
  <si>
    <t xml:space="preserve">Netflix Top 10 — Dashboard Guide</t>
  </si>
  <si>
    <t xml:space="preserve">This workbook analyzes Netflix's official Global Top 10 (most-watched films &amp; TV). It ships with 10 weeks of realistic SAMPLE data, structured exactly like Netflix's real export, so every chart and KPI works out of the box.</t>
  </si>
  <si>
    <t xml:space="preserve">What's in each tab</t>
  </si>
  <si>
    <t xml:space="preserve">• Dashboard — KPI cards, Top 10 bar chart, category trend lines, category share pie, total-hours trend.
• Summary — the formulas (SUMIFS/COUNTIFS/AVERAGEIFS/INDEX-MATCH) that power the dashboard. Everything recalculates automatically if the Data tab changes.
• Data — the raw weekly Top 10 table (Excel Table named Top10Data).
• ReadMe — this page.</t>
  </si>
  <si>
    <t xml:space="preserve">Using real, live Netflix data instead of the sample</t>
  </si>
  <si>
    <t xml:space="preserve">Netflix has no public API, and its official Top 10 only updates weekly (every Tuesday). To replace the sample rows with the real feed:
1. Data tab → Data ribbon → Get Data → From Web.
2. Paste Netflix's official data file URL (grab the current link from the "Download details" button at netflix.com/tudum/top10 — as of this writing: https://www.netflix.com/tudum/top10/data/all-weeks-global.tsv).
3. Load it in, replacing the Top10Data table, keeping the same column names (category, week, show_title, season_title, cumulative_weeks_in_top10, weekly_rank, weekly_hours_viewed, weekly_views, runtime).
4. Every formula on Summary and Dashboard references the Data tab by column, so once the real columns line up, all KPIs and charts update instantly on Refresh All.
(Full step-by-step Power Query setup, plus how to automate the refresh, was covered in the companion 'Power BI Guide' — the same source and M code work here too.)</t>
  </si>
  <si>
    <t xml:space="preserve">Changing which category the Top 10 chart shows</t>
  </si>
  <si>
    <t xml:space="preserve">The bar chart on Dashboard defaults to 'Films (English)'. To change it, edit the focus category text in the Summary tab's Block D formulas (Find &amp; Replace 'Films (English)' with, e.g., 'TV (Non-English)').</t>
  </si>
  <si>
    <t xml:space="preserve">Keeping this current</t>
  </si>
  <si>
    <t xml:space="preserve">Click Data &gt; Refresh All any time after connecting to live data, and every KPI, table, and chart updates — nothing here is hardcoded.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</si>
</sst>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"/>
    <numFmt numFmtId="168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64D4D"/>
      <name val="Arial"/>
      <family val="0"/>
      <charset val="1"/>
    </font>
    <font>
      <b val="true"/>
      <sz val="10"/>
      <color rgb="FF564D4D"/>
      <name val="Arial"/>
      <family val="0"/>
      <charset val="1"/>
    </font>
    <font>
      <b val="true"/>
      <sz val="22"/>
      <color rgb="FF141414"/>
      <name val="Arial"/>
      <family val="0"/>
      <charset val="1"/>
    </font>
    <font>
      <i val="true"/>
      <sz val="11"/>
      <color rgb="FF1414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E509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4141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141414"/>
      <name val="Arial"/>
      <family val="0"/>
      <charset val="1"/>
    </font>
    <font>
      <b val="true"/>
      <sz val="12"/>
      <color rgb="FF1414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1414"/>
        <bgColor rgb="FF000000"/>
      </patternFill>
    </fill>
    <fill>
      <patternFill patternType="solid">
        <fgColor rgb="FFF5F5F1"/>
        <bgColor rgb="FFF9F9F9"/>
      </patternFill>
    </fill>
    <fill>
      <patternFill patternType="solid">
        <fgColor rgb="FFE50914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E5091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14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064A2"/>
      <rgbColor rgb="FFBE4B48"/>
      <rgbColor rgb="FFF5F5F1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141414"/>
      <rgbColor rgb="FF333300"/>
      <rgbColor rgb="FF993300"/>
      <rgbColor rgb="FFC0504D"/>
      <rgbColor rgb="FF333399"/>
      <rgbColor rgb="FF56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Most Recent Week — Top 10: Films (English)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Summary!C35</c:f>
              <c:strCache>
                <c:ptCount val="1"/>
                <c:pt idx="0">
                  <c:v>Hours Viewed</c:v>
                </c:pt>
              </c:strCache>
            </c:strRef>
          </c:tx>
          <c:spPr>
            <a:solidFill>
              <a:srgbClr val="e509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Summary!$B$36:$B$45</c:f>
              <c:strCache>
                <c:ptCount val="10"/>
                <c:pt idx="0">
                  <c:v>Midnight Cargo</c:v>
                </c:pt>
                <c:pt idx="1">
                  <c:v>The Last Signal</c:v>
                </c:pt>
                <c:pt idx="2">
                  <c:v>Glass Harbor</c:v>
                </c:pt>
                <c:pt idx="3">
                  <c:v>The Forgotten Wing</c:v>
                </c:pt>
                <c:pt idx="4">
                  <c:v>Ridgeline</c:v>
                </c:pt>
                <c:pt idx="5">
                  <c:v>Quiet Storm</c:v>
                </c:pt>
                <c:pt idx="6">
                  <c:v>Northbound</c:v>
                </c:pt>
                <c:pt idx="7">
                  <c:v>Crimson Tide Rising</c:v>
                </c:pt>
                <c:pt idx="8">
                  <c:v>Saltwater</c:v>
                </c:pt>
                <c:pt idx="9">
                  <c:v>Vermillion Heights</c:v>
                </c:pt>
              </c:strCache>
            </c:strRef>
          </c:cat>
          <c:val>
            <c:numRef>
              <c:f>Summary!$C$36:$C$45</c:f>
              <c:numCache>
                <c:formatCode>#,##0</c:formatCode>
                <c:ptCount val="10"/>
                <c:pt idx="0">
                  <c:v>29774515</c:v>
                </c:pt>
                <c:pt idx="1">
                  <c:v>26035979</c:v>
                </c:pt>
                <c:pt idx="2">
                  <c:v>25592326</c:v>
                </c:pt>
                <c:pt idx="3">
                  <c:v>25335934</c:v>
                </c:pt>
                <c:pt idx="4">
                  <c:v>20476658</c:v>
                </c:pt>
                <c:pt idx="5">
                  <c:v>19268922</c:v>
                </c:pt>
                <c:pt idx="6">
                  <c:v>11807944</c:v>
                </c:pt>
                <c:pt idx="7">
                  <c:v>8254767</c:v>
                </c:pt>
                <c:pt idx="8">
                  <c:v>8196122</c:v>
                </c:pt>
                <c:pt idx="9">
                  <c:v>5053796</c:v>
                </c:pt>
              </c:numCache>
            </c:numRef>
          </c:val>
        </c:ser>
        <c:gapWidth val="150"/>
        <c:overlap val="0"/>
        <c:axId val="83829316"/>
        <c:axId val="22557622"/>
      </c:barChart>
      <c:catAx>
        <c:axId val="83829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Title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7622"/>
        <c:crosses val="autoZero"/>
        <c:auto val="1"/>
        <c:lblAlgn val="ctr"/>
        <c:lblOffset val="100"/>
        <c:noMultiLvlLbl val="0"/>
      </c:catAx>
      <c:valAx>
        <c:axId val="22557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 Viewed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293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Trend — Hours Viewed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Films (English)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Summary!$A$23:$A$32</c:f>
              <c:strCache>
                <c:ptCount val="10"/>
                <c:pt idx="0">
                  <c:v>2026-04-14</c:v>
                </c:pt>
                <c:pt idx="1">
                  <c:v>2026-04-21</c:v>
                </c:pt>
                <c:pt idx="2">
                  <c:v>2026-04-28</c:v>
                </c:pt>
                <c:pt idx="3">
                  <c:v>2026-05-05</c:v>
                </c:pt>
                <c:pt idx="4">
                  <c:v>2026-05-12</c:v>
                </c:pt>
                <c:pt idx="5">
                  <c:v>2026-05-19</c:v>
                </c:pt>
                <c:pt idx="6">
                  <c:v>2026-05-26</c:v>
                </c:pt>
                <c:pt idx="7">
                  <c:v>2026-06-02</c:v>
                </c:pt>
                <c:pt idx="8">
                  <c:v>2026-06-09</c:v>
                </c:pt>
                <c:pt idx="9">
                  <c:v>2026-06-16</c:v>
                </c:pt>
              </c:strCache>
            </c:strRef>
          </c:cat>
          <c:val>
            <c:numRef>
              <c:f>Summary!$B$23:$B$32</c:f>
              <c:numCache>
                <c:formatCode>#,##0</c:formatCode>
                <c:ptCount val="10"/>
                <c:pt idx="0">
                  <c:v>187592512</c:v>
                </c:pt>
                <c:pt idx="1">
                  <c:v>172479220</c:v>
                </c:pt>
                <c:pt idx="2">
                  <c:v>186573116</c:v>
                </c:pt>
                <c:pt idx="3">
                  <c:v>190280546</c:v>
                </c:pt>
                <c:pt idx="4">
                  <c:v>184060733</c:v>
                </c:pt>
                <c:pt idx="5">
                  <c:v>185229116</c:v>
                </c:pt>
                <c:pt idx="6">
                  <c:v>158204492</c:v>
                </c:pt>
                <c:pt idx="7">
                  <c:v>149293285</c:v>
                </c:pt>
                <c:pt idx="8">
                  <c:v>195753760</c:v>
                </c:pt>
                <c:pt idx="9">
                  <c:v>179796963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Summary!C22</c:f>
              <c:strCache>
                <c:ptCount val="1"/>
                <c:pt idx="0">
                  <c:v>Films (Non-English)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Summary!$A$23:$A$32</c:f>
              <c:strCache>
                <c:ptCount val="10"/>
                <c:pt idx="0">
                  <c:v>2026-04-14</c:v>
                </c:pt>
                <c:pt idx="1">
                  <c:v>2026-04-21</c:v>
                </c:pt>
                <c:pt idx="2">
                  <c:v>2026-04-28</c:v>
                </c:pt>
                <c:pt idx="3">
                  <c:v>2026-05-05</c:v>
                </c:pt>
                <c:pt idx="4">
                  <c:v>2026-05-12</c:v>
                </c:pt>
                <c:pt idx="5">
                  <c:v>2026-05-19</c:v>
                </c:pt>
                <c:pt idx="6">
                  <c:v>2026-05-26</c:v>
                </c:pt>
                <c:pt idx="7">
                  <c:v>2026-06-02</c:v>
                </c:pt>
                <c:pt idx="8">
                  <c:v>2026-06-09</c:v>
                </c:pt>
                <c:pt idx="9">
                  <c:v>2026-06-16</c:v>
                </c:pt>
              </c:strCache>
            </c:strRef>
          </c:cat>
          <c:val>
            <c:numRef>
              <c:f>Summary!$C$23:$C$32</c:f>
              <c:numCache>
                <c:formatCode>#,##0</c:formatCode>
                <c:ptCount val="10"/>
                <c:pt idx="0">
                  <c:v>209498421</c:v>
                </c:pt>
                <c:pt idx="1">
                  <c:v>182078870</c:v>
                </c:pt>
                <c:pt idx="2">
                  <c:v>213167551</c:v>
                </c:pt>
                <c:pt idx="3">
                  <c:v>189187174</c:v>
                </c:pt>
                <c:pt idx="4">
                  <c:v>174758404</c:v>
                </c:pt>
                <c:pt idx="5">
                  <c:v>172269834</c:v>
                </c:pt>
                <c:pt idx="6">
                  <c:v>193533865</c:v>
                </c:pt>
                <c:pt idx="7">
                  <c:v>198144689</c:v>
                </c:pt>
                <c:pt idx="8">
                  <c:v>201365936</c:v>
                </c:pt>
                <c:pt idx="9">
                  <c:v>188386440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Summary!D22</c:f>
              <c:strCache>
                <c:ptCount val="1"/>
                <c:pt idx="0">
                  <c:v>TV (English)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Summary!$A$23:$A$32</c:f>
              <c:strCache>
                <c:ptCount val="10"/>
                <c:pt idx="0">
                  <c:v>2026-04-14</c:v>
                </c:pt>
                <c:pt idx="1">
                  <c:v>2026-04-21</c:v>
                </c:pt>
                <c:pt idx="2">
                  <c:v>2026-04-28</c:v>
                </c:pt>
                <c:pt idx="3">
                  <c:v>2026-05-05</c:v>
                </c:pt>
                <c:pt idx="4">
                  <c:v>2026-05-12</c:v>
                </c:pt>
                <c:pt idx="5">
                  <c:v>2026-05-19</c:v>
                </c:pt>
                <c:pt idx="6">
                  <c:v>2026-05-26</c:v>
                </c:pt>
                <c:pt idx="7">
                  <c:v>2026-06-02</c:v>
                </c:pt>
                <c:pt idx="8">
                  <c:v>2026-06-09</c:v>
                </c:pt>
                <c:pt idx="9">
                  <c:v>2026-06-16</c:v>
                </c:pt>
              </c:strCache>
            </c:strRef>
          </c:cat>
          <c:val>
            <c:numRef>
              <c:f>Summary!$D$23:$D$32</c:f>
              <c:numCache>
                <c:formatCode>#,##0</c:formatCode>
                <c:ptCount val="10"/>
                <c:pt idx="0">
                  <c:v>171020738</c:v>
                </c:pt>
                <c:pt idx="1">
                  <c:v>190219667</c:v>
                </c:pt>
                <c:pt idx="2">
                  <c:v>160379813</c:v>
                </c:pt>
                <c:pt idx="3">
                  <c:v>163716807</c:v>
                </c:pt>
                <c:pt idx="4">
                  <c:v>182655677</c:v>
                </c:pt>
                <c:pt idx="5">
                  <c:v>183255114</c:v>
                </c:pt>
                <c:pt idx="6">
                  <c:v>170592163</c:v>
                </c:pt>
                <c:pt idx="7">
                  <c:v>181774691</c:v>
                </c:pt>
                <c:pt idx="8">
                  <c:v>186186505</c:v>
                </c:pt>
                <c:pt idx="9">
                  <c:v>147983461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Summary!E22</c:f>
              <c:strCache>
                <c:ptCount val="1"/>
                <c:pt idx="0">
                  <c:v>TV (Non-English)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Summary!$A$23:$A$32</c:f>
              <c:strCache>
                <c:ptCount val="10"/>
                <c:pt idx="0">
                  <c:v>2026-04-14</c:v>
                </c:pt>
                <c:pt idx="1">
                  <c:v>2026-04-21</c:v>
                </c:pt>
                <c:pt idx="2">
                  <c:v>2026-04-28</c:v>
                </c:pt>
                <c:pt idx="3">
                  <c:v>2026-05-05</c:v>
                </c:pt>
                <c:pt idx="4">
                  <c:v>2026-05-12</c:v>
                </c:pt>
                <c:pt idx="5">
                  <c:v>2026-05-19</c:v>
                </c:pt>
                <c:pt idx="6">
                  <c:v>2026-05-26</c:v>
                </c:pt>
                <c:pt idx="7">
                  <c:v>2026-06-02</c:v>
                </c:pt>
                <c:pt idx="8">
                  <c:v>2026-06-09</c:v>
                </c:pt>
                <c:pt idx="9">
                  <c:v>2026-06-16</c:v>
                </c:pt>
              </c:strCache>
            </c:strRef>
          </c:cat>
          <c:val>
            <c:numRef>
              <c:f>Summary!$E$23:$E$32</c:f>
              <c:numCache>
                <c:formatCode>#,##0</c:formatCode>
                <c:ptCount val="10"/>
                <c:pt idx="0">
                  <c:v>210730799</c:v>
                </c:pt>
                <c:pt idx="1">
                  <c:v>209472600</c:v>
                </c:pt>
                <c:pt idx="2">
                  <c:v>220323183</c:v>
                </c:pt>
                <c:pt idx="3">
                  <c:v>197408927</c:v>
                </c:pt>
                <c:pt idx="4">
                  <c:v>188913541</c:v>
                </c:pt>
                <c:pt idx="5">
                  <c:v>193380355</c:v>
                </c:pt>
                <c:pt idx="6">
                  <c:v>195391608</c:v>
                </c:pt>
                <c:pt idx="7">
                  <c:v>178823699</c:v>
                </c:pt>
                <c:pt idx="8">
                  <c:v>206362198</c:v>
                </c:pt>
                <c:pt idx="9">
                  <c:v>199015749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196885"/>
        <c:axId val="66660771"/>
      </c:lineChart>
      <c:catAx>
        <c:axId val="64196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60771"/>
        <c:crosses val="autoZero"/>
        <c:auto val="1"/>
        <c:lblAlgn val="ctr"/>
        <c:lblOffset val="100"/>
        <c:noMultiLvlLbl val="0"/>
      </c:catAx>
      <c:valAx>
        <c:axId val="66660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 Viewed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96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Latest Week — Hours Viewed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</c:f>
              <c:strCache>
                <c:ptCount val="1"/>
                <c:pt idx="0">
                  <c:v>Hours Viewed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Summary!$A$3:$A$6</c:f>
              <c:strCache>
                <c:ptCount val="4"/>
                <c:pt idx="0">
                  <c:v>Films (English)</c:v>
                </c:pt>
                <c:pt idx="1">
                  <c:v>Films (Non-English)</c:v>
                </c:pt>
                <c:pt idx="2">
                  <c:v>TV (English)</c:v>
                </c:pt>
                <c:pt idx="3">
                  <c:v>TV (Non-English)</c:v>
                </c:pt>
              </c:strCache>
            </c:strRef>
          </c:cat>
          <c:val>
            <c:numRef>
              <c:f>Summary!$B$3:$B$6</c:f>
              <c:numCache>
                <c:formatCode>#,##0</c:formatCode>
                <c:ptCount val="4"/>
                <c:pt idx="0">
                  <c:v>179796963</c:v>
                </c:pt>
                <c:pt idx="1">
                  <c:v>188386440</c:v>
                </c:pt>
                <c:pt idx="2">
                  <c:v>147983461</c:v>
                </c:pt>
                <c:pt idx="3">
                  <c:v>199015749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Trend — Total Hours Viewed (All Categories)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Total Hours Viewed</c:v>
                </c:pt>
              </c:strCache>
            </c:strRef>
          </c:tx>
          <c:spPr>
            <a:solidFill>
              <a:srgbClr val="1414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Summary!$A$10:$A$19</c:f>
              <c:strCache>
                <c:ptCount val="10"/>
                <c:pt idx="0">
                  <c:v>2026-04-14</c:v>
                </c:pt>
                <c:pt idx="1">
                  <c:v>2026-04-21</c:v>
                </c:pt>
                <c:pt idx="2">
                  <c:v>2026-04-28</c:v>
                </c:pt>
                <c:pt idx="3">
                  <c:v>2026-05-05</c:v>
                </c:pt>
                <c:pt idx="4">
                  <c:v>2026-05-12</c:v>
                </c:pt>
                <c:pt idx="5">
                  <c:v>2026-05-19</c:v>
                </c:pt>
                <c:pt idx="6">
                  <c:v>2026-05-26</c:v>
                </c:pt>
                <c:pt idx="7">
                  <c:v>2026-06-02</c:v>
                </c:pt>
                <c:pt idx="8">
                  <c:v>2026-06-09</c:v>
                </c:pt>
                <c:pt idx="9">
                  <c:v>2026-06-16</c:v>
                </c:pt>
              </c:strCache>
            </c:strRef>
          </c:cat>
          <c:val>
            <c:numRef>
              <c:f>Summary!$B$10:$B$19</c:f>
              <c:numCache>
                <c:formatCode>#,##0</c:formatCode>
                <c:ptCount val="10"/>
                <c:pt idx="0">
                  <c:v>778842470</c:v>
                </c:pt>
                <c:pt idx="1">
                  <c:v>754250357</c:v>
                </c:pt>
                <c:pt idx="2">
                  <c:v>780443663</c:v>
                </c:pt>
                <c:pt idx="3">
                  <c:v>740593454</c:v>
                </c:pt>
                <c:pt idx="4">
                  <c:v>730388355</c:v>
                </c:pt>
                <c:pt idx="5">
                  <c:v>734134419</c:v>
                </c:pt>
                <c:pt idx="6">
                  <c:v>717722128</c:v>
                </c:pt>
                <c:pt idx="7">
                  <c:v>708036364</c:v>
                </c:pt>
                <c:pt idx="8">
                  <c:v>789668399</c:v>
                </c:pt>
                <c:pt idx="9">
                  <c:v>715182613</c:v>
                </c:pt>
              </c:numCache>
            </c:numRef>
          </c:val>
        </c:ser>
        <c:gapWidth val="150"/>
        <c:overlap val="0"/>
        <c:axId val="67099679"/>
        <c:axId val="50758617"/>
      </c:barChart>
      <c:catAx>
        <c:axId val="67099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58617"/>
        <c:crosses val="autoZero"/>
        <c:auto val="1"/>
        <c:lblAlgn val="ctr"/>
        <c:lblOffset val="100"/>
        <c:noMultiLvlLbl val="0"/>
      </c:catAx>
      <c:valAx>
        <c:axId val="5075861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 Viewed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99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480600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211320" y="22478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12</xdr:col>
      <xdr:colOff>269640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5850360" y="22478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480600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11320" y="54864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12</xdr:col>
      <xdr:colOff>269640</xdr:colOff>
      <xdr:row>44</xdr:row>
      <xdr:rowOff>1080</xdr:rowOff>
    </xdr:to>
    <xdr:graphicFrame>
      <xdr:nvGraphicFramePr>
        <xdr:cNvPr id="3" name="Chart 4"/>
        <xdr:cNvGraphicFramePr/>
      </xdr:nvGraphicFramePr>
      <xdr:xfrm>
        <a:off x="5850360" y="54864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op10Data" displayName="Top10Data" ref="A1:I401" headerRowCount="1" totalsRowCount="0" totalsRowShown="0">
  <autoFilter ref="A1:I401"/>
  <tableColumns count="9">
    <tableColumn id="1" name="category"/>
    <tableColumn id="2" name="week"/>
    <tableColumn id="3" name="show_title"/>
    <tableColumn id="4" name="season_title"/>
    <tableColumn id="5" name="cumulative_weeks_in_top10"/>
    <tableColumn id="6" name="weekly_rank"/>
    <tableColumn id="7" name="weekly_hours_viewed"/>
    <tableColumn id="8" name="weekly_views"/>
    <tableColumn id="9" name="runti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6"/>
    <col collapsed="false" customWidth="true" hidden="false" outlineLevel="0" max="12" min="12" style="0" width="3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2" t="str">
        <f aca="false">"Data through " &amp; TEXT(MAX(Data!B2:B401),"mmmm d, yyyy") &amp; "  |  Source: Netflix official Top 10 (refresh via Power Query for live data)"</f>
        <v>Data through June 16, 2026  |  Source: Netflix official Top 10 (refresh via Power Query for live data)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</row>
    <row r="6" customFormat="false" ht="15" hidden="false" customHeight="false" outlineLevel="0" collapsed="false">
      <c r="B6" s="4" t="n">
        <f aca="false">SUM(Summary!B3:B6)</f>
        <v>715182613</v>
      </c>
      <c r="C6" s="4"/>
      <c r="D6" s="4" t="n">
        <f aca="false">SUM(Summary!C3:C6)</f>
        <v>347460919</v>
      </c>
      <c r="E6" s="4"/>
      <c r="F6" s="4" t="n">
        <f aca="false">SUM(Summary!D3:D6)</f>
        <v>40</v>
      </c>
      <c r="G6" s="4"/>
      <c r="H6" s="5" t="n">
        <f aca="false">MAX(Data!E2:E401)</f>
        <v>10</v>
      </c>
      <c r="I6" s="5"/>
      <c r="J6" s="5" t="n">
        <f aca="false">COUNTA(Summary!A10:A19)</f>
        <v>10</v>
      </c>
      <c r="K6" s="5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5"/>
      <c r="I7" s="5"/>
      <c r="J7" s="5"/>
      <c r="K7" s="5"/>
    </row>
    <row r="9" customFormat="false" ht="18" hidden="false" customHeight="true" outlineLevel="0" collapsed="false">
      <c r="B9" s="6" t="str">
        <f aca="false">"Longest-running title: " &amp; INDEX(Data!C2:C401,MATCH(MAX(Data!E2:E401),Data!E2:E401,0)) &amp; " (" &amp; MAX(Data!E2:E401) &amp; " weeks in Top 10)"</f>
        <v>Longest-running title: The Last Signal (10 weeks in Top 10)</v>
      </c>
      <c r="C9" s="6"/>
      <c r="D9" s="6"/>
      <c r="E9" s="6"/>
      <c r="F9" s="6"/>
      <c r="G9" s="6"/>
      <c r="H9" s="6"/>
      <c r="I9" s="6"/>
      <c r="J9" s="6"/>
      <c r="K9" s="6"/>
      <c r="L9" s="6"/>
    </row>
  </sheetData>
  <mergeCells count="13">
    <mergeCell ref="B2:L2"/>
    <mergeCell ref="B3:L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  <mergeCell ref="B9:L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7" t="s">
        <v>6</v>
      </c>
    </row>
    <row r="2" customFormat="false" ht="15" hidden="false" customHeight="false" outlineLevel="0" collapsed="false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</row>
    <row r="3" customFormat="false" ht="15" hidden="false" customHeight="false" outlineLevel="0" collapsed="false">
      <c r="A3" s="9" t="s">
        <v>12</v>
      </c>
      <c r="B3" s="10" t="n">
        <f aca="false">SUMIFS(Data!$G$2:$G$401,Data!$A$2:$A$401,$A3,Data!$B$2:$B$401,MAX(Data!$B$2:$B$401))</f>
        <v>179796963</v>
      </c>
      <c r="C3" s="10" t="n">
        <f aca="false">SUMIFS(Data!$H$2:$H$401,Data!$A$2:$A$401,$A3,Data!$B$2:$B$401,MAX(Data!$B$2:$B$401))</f>
        <v>87342213</v>
      </c>
      <c r="D3" s="9" t="n">
        <f aca="false">COUNTIFS(Data!$A$2:$A$401,$A3,Data!$B$2:$B$401,MAX(Data!$B$2:$B$401))</f>
        <v>10</v>
      </c>
      <c r="E3" s="11" t="n">
        <f aca="false">AVERAGEIFS(Data!$E$2:$E$401,Data!$A$2:$A$401,$A3,Data!$B$2:$B$401,MAX(Data!$B$2:$B$401))</f>
        <v>6.5</v>
      </c>
    </row>
    <row r="4" customFormat="false" ht="15" hidden="false" customHeight="false" outlineLevel="0" collapsed="false">
      <c r="A4" s="9" t="s">
        <v>13</v>
      </c>
      <c r="B4" s="10" t="n">
        <f aca="false">SUMIFS(Data!$G$2:$G$401,Data!$A$2:$A$401,$A4,Data!$B$2:$B$401,MAX(Data!$B$2:$B$401))</f>
        <v>188386440</v>
      </c>
      <c r="C4" s="10" t="n">
        <f aca="false">SUMIFS(Data!$H$2:$H$401,Data!$A$2:$A$401,$A4,Data!$B$2:$B$401,MAX(Data!$B$2:$B$401))</f>
        <v>89310443</v>
      </c>
      <c r="D4" s="9" t="n">
        <f aca="false">COUNTIFS(Data!$A$2:$A$401,$A4,Data!$B$2:$B$401,MAX(Data!$B$2:$B$401))</f>
        <v>10</v>
      </c>
      <c r="E4" s="11" t="n">
        <f aca="false">AVERAGEIFS(Data!$E$2:$E$401,Data!$A$2:$A$401,$A4,Data!$B$2:$B$401,MAX(Data!$B$2:$B$401))</f>
        <v>5.6</v>
      </c>
    </row>
    <row r="5" customFormat="false" ht="15" hidden="false" customHeight="false" outlineLevel="0" collapsed="false">
      <c r="A5" s="9" t="s">
        <v>14</v>
      </c>
      <c r="B5" s="10" t="n">
        <f aca="false">SUMIFS(Data!$G$2:$G$401,Data!$A$2:$A$401,$A5,Data!$B$2:$B$401,MAX(Data!$B$2:$B$401))</f>
        <v>147983461</v>
      </c>
      <c r="C5" s="10" t="n">
        <f aca="false">SUMIFS(Data!$H$2:$H$401,Data!$A$2:$A$401,$A5,Data!$B$2:$B$401,MAX(Data!$B$2:$B$401))</f>
        <v>73420391</v>
      </c>
      <c r="D5" s="9" t="n">
        <f aca="false">COUNTIFS(Data!$A$2:$A$401,$A5,Data!$B$2:$B$401,MAX(Data!$B$2:$B$401))</f>
        <v>10</v>
      </c>
      <c r="E5" s="11" t="n">
        <f aca="false">AVERAGEIFS(Data!$E$2:$E$401,Data!$A$2:$A$401,$A5,Data!$B$2:$B$401,MAX(Data!$B$2:$B$401))</f>
        <v>7.1</v>
      </c>
    </row>
    <row r="6" customFormat="false" ht="15" hidden="false" customHeight="false" outlineLevel="0" collapsed="false">
      <c r="A6" s="9" t="s">
        <v>15</v>
      </c>
      <c r="B6" s="10" t="n">
        <f aca="false">SUMIFS(Data!$G$2:$G$401,Data!$A$2:$A$401,$A6,Data!$B$2:$B$401,MAX(Data!$B$2:$B$401))</f>
        <v>199015749</v>
      </c>
      <c r="C6" s="10" t="n">
        <f aca="false">SUMIFS(Data!$H$2:$H$401,Data!$A$2:$A$401,$A6,Data!$B$2:$B$401,MAX(Data!$B$2:$B$401))</f>
        <v>97387872</v>
      </c>
      <c r="D6" s="9" t="n">
        <f aca="false">COUNTIFS(Data!$A$2:$A$401,$A6,Data!$B$2:$B$401,MAX(Data!$B$2:$B$401))</f>
        <v>10</v>
      </c>
      <c r="E6" s="11" t="n">
        <f aca="false">AVERAGEIFS(Data!$E$2:$E$401,Data!$A$2:$A$401,$A6,Data!$B$2:$B$401,MAX(Data!$B$2:$B$401))</f>
        <v>5.7</v>
      </c>
    </row>
    <row r="8" customFormat="false" ht="16.15" hidden="false" customHeight="false" outlineLevel="0" collapsed="false">
      <c r="A8" s="7" t="s">
        <v>16</v>
      </c>
    </row>
    <row r="9" customFormat="false" ht="15" hidden="false" customHeight="false" outlineLevel="0" collapsed="false">
      <c r="A9" s="8" t="s">
        <v>17</v>
      </c>
      <c r="B9" s="8" t="s">
        <v>18</v>
      </c>
    </row>
    <row r="10" customFormat="false" ht="15" hidden="false" customHeight="false" outlineLevel="0" collapsed="false">
      <c r="A10" s="12" t="n">
        <v>46126</v>
      </c>
      <c r="B10" s="10" t="n">
        <f aca="false">SUMIFS(Data!$G$2:$G$401,Data!$B$2:$B$401,$A10)</f>
        <v>778842470</v>
      </c>
    </row>
    <row r="11" customFormat="false" ht="15" hidden="false" customHeight="false" outlineLevel="0" collapsed="false">
      <c r="A11" s="12" t="n">
        <v>46133</v>
      </c>
      <c r="B11" s="10" t="n">
        <f aca="false">SUMIFS(Data!$G$2:$G$401,Data!$B$2:$B$401,$A11)</f>
        <v>754250357</v>
      </c>
    </row>
    <row r="12" customFormat="false" ht="15" hidden="false" customHeight="false" outlineLevel="0" collapsed="false">
      <c r="A12" s="12" t="n">
        <v>46140</v>
      </c>
      <c r="B12" s="10" t="n">
        <f aca="false">SUMIFS(Data!$G$2:$G$401,Data!$B$2:$B$401,$A12)</f>
        <v>780443663</v>
      </c>
    </row>
    <row r="13" customFormat="false" ht="15" hidden="false" customHeight="false" outlineLevel="0" collapsed="false">
      <c r="A13" s="12" t="n">
        <v>46147</v>
      </c>
      <c r="B13" s="10" t="n">
        <f aca="false">SUMIFS(Data!$G$2:$G$401,Data!$B$2:$B$401,$A13)</f>
        <v>740593454</v>
      </c>
    </row>
    <row r="14" customFormat="false" ht="15" hidden="false" customHeight="false" outlineLevel="0" collapsed="false">
      <c r="A14" s="12" t="n">
        <v>46154</v>
      </c>
      <c r="B14" s="10" t="n">
        <f aca="false">SUMIFS(Data!$G$2:$G$401,Data!$B$2:$B$401,$A14)</f>
        <v>730388355</v>
      </c>
    </row>
    <row r="15" customFormat="false" ht="15" hidden="false" customHeight="false" outlineLevel="0" collapsed="false">
      <c r="A15" s="12" t="n">
        <v>46161</v>
      </c>
      <c r="B15" s="10" t="n">
        <f aca="false">SUMIFS(Data!$G$2:$G$401,Data!$B$2:$B$401,$A15)</f>
        <v>734134419</v>
      </c>
    </row>
    <row r="16" customFormat="false" ht="15" hidden="false" customHeight="false" outlineLevel="0" collapsed="false">
      <c r="A16" s="12" t="n">
        <v>46168</v>
      </c>
      <c r="B16" s="10" t="n">
        <f aca="false">SUMIFS(Data!$G$2:$G$401,Data!$B$2:$B$401,$A16)</f>
        <v>717722128</v>
      </c>
    </row>
    <row r="17" customFormat="false" ht="15" hidden="false" customHeight="false" outlineLevel="0" collapsed="false">
      <c r="A17" s="12" t="n">
        <v>46175</v>
      </c>
      <c r="B17" s="10" t="n">
        <f aca="false">SUMIFS(Data!$G$2:$G$401,Data!$B$2:$B$401,$A17)</f>
        <v>708036364</v>
      </c>
    </row>
    <row r="18" customFormat="false" ht="15" hidden="false" customHeight="false" outlineLevel="0" collapsed="false">
      <c r="A18" s="12" t="n">
        <v>46182</v>
      </c>
      <c r="B18" s="10" t="n">
        <f aca="false">SUMIFS(Data!$G$2:$G$401,Data!$B$2:$B$401,$A18)</f>
        <v>789668399</v>
      </c>
    </row>
    <row r="19" customFormat="false" ht="15" hidden="false" customHeight="false" outlineLevel="0" collapsed="false">
      <c r="A19" s="12" t="n">
        <v>46189</v>
      </c>
      <c r="B19" s="10" t="n">
        <f aca="false">SUMIFS(Data!$G$2:$G$401,Data!$B$2:$B$401,$A19)</f>
        <v>715182613</v>
      </c>
    </row>
    <row r="21" customFormat="false" ht="16.15" hidden="false" customHeight="false" outlineLevel="0" collapsed="false">
      <c r="A21" s="7" t="s">
        <v>19</v>
      </c>
    </row>
    <row r="22" customFormat="false" ht="15" hidden="false" customHeight="false" outlineLevel="0" collapsed="false">
      <c r="A22" s="8" t="s">
        <v>17</v>
      </c>
      <c r="B22" s="8" t="s">
        <v>12</v>
      </c>
      <c r="C22" s="8" t="s">
        <v>13</v>
      </c>
      <c r="D22" s="8" t="s">
        <v>14</v>
      </c>
      <c r="E22" s="8" t="s">
        <v>15</v>
      </c>
    </row>
    <row r="23" customFormat="false" ht="15" hidden="false" customHeight="false" outlineLevel="0" collapsed="false">
      <c r="A23" s="12" t="n">
        <v>46126</v>
      </c>
      <c r="B23" s="10" t="n">
        <f aca="false">SUMIFS(Data!$G$2:$G$401,Data!$B$2:$B$401,$A23,Data!$A$2:$A$401,B$22)</f>
        <v>187592512</v>
      </c>
      <c r="C23" s="10" t="n">
        <f aca="false">SUMIFS(Data!$G$2:$G$401,Data!$B$2:$B$401,$A23,Data!$A$2:$A$401,C$22)</f>
        <v>209498421</v>
      </c>
      <c r="D23" s="10" t="n">
        <f aca="false">SUMIFS(Data!$G$2:$G$401,Data!$B$2:$B$401,$A23,Data!$A$2:$A$401,D$22)</f>
        <v>171020738</v>
      </c>
      <c r="E23" s="10" t="n">
        <f aca="false">SUMIFS(Data!$G$2:$G$401,Data!$B$2:$B$401,$A23,Data!$A$2:$A$401,E$22)</f>
        <v>210730799</v>
      </c>
    </row>
    <row r="24" customFormat="false" ht="15" hidden="false" customHeight="false" outlineLevel="0" collapsed="false">
      <c r="A24" s="12" t="n">
        <v>46133</v>
      </c>
      <c r="B24" s="10" t="n">
        <f aca="false">SUMIFS(Data!$G$2:$G$401,Data!$B$2:$B$401,$A24,Data!$A$2:$A$401,B$22)</f>
        <v>172479220</v>
      </c>
      <c r="C24" s="10" t="n">
        <f aca="false">SUMIFS(Data!$G$2:$G$401,Data!$B$2:$B$401,$A24,Data!$A$2:$A$401,C$22)</f>
        <v>182078870</v>
      </c>
      <c r="D24" s="10" t="n">
        <f aca="false">SUMIFS(Data!$G$2:$G$401,Data!$B$2:$B$401,$A24,Data!$A$2:$A$401,D$22)</f>
        <v>190219667</v>
      </c>
      <c r="E24" s="10" t="n">
        <f aca="false">SUMIFS(Data!$G$2:$G$401,Data!$B$2:$B$401,$A24,Data!$A$2:$A$401,E$22)</f>
        <v>209472600</v>
      </c>
    </row>
    <row r="25" customFormat="false" ht="15" hidden="false" customHeight="false" outlineLevel="0" collapsed="false">
      <c r="A25" s="12" t="n">
        <v>46140</v>
      </c>
      <c r="B25" s="10" t="n">
        <f aca="false">SUMIFS(Data!$G$2:$G$401,Data!$B$2:$B$401,$A25,Data!$A$2:$A$401,B$22)</f>
        <v>186573116</v>
      </c>
      <c r="C25" s="10" t="n">
        <f aca="false">SUMIFS(Data!$G$2:$G$401,Data!$B$2:$B$401,$A25,Data!$A$2:$A$401,C$22)</f>
        <v>213167551</v>
      </c>
      <c r="D25" s="10" t="n">
        <f aca="false">SUMIFS(Data!$G$2:$G$401,Data!$B$2:$B$401,$A25,Data!$A$2:$A$401,D$22)</f>
        <v>160379813</v>
      </c>
      <c r="E25" s="10" t="n">
        <f aca="false">SUMIFS(Data!$G$2:$G$401,Data!$B$2:$B$401,$A25,Data!$A$2:$A$401,E$22)</f>
        <v>220323183</v>
      </c>
    </row>
    <row r="26" customFormat="false" ht="15" hidden="false" customHeight="false" outlineLevel="0" collapsed="false">
      <c r="A26" s="12" t="n">
        <v>46147</v>
      </c>
      <c r="B26" s="10" t="n">
        <f aca="false">SUMIFS(Data!$G$2:$G$401,Data!$B$2:$B$401,$A26,Data!$A$2:$A$401,B$22)</f>
        <v>190280546</v>
      </c>
      <c r="C26" s="10" t="n">
        <f aca="false">SUMIFS(Data!$G$2:$G$401,Data!$B$2:$B$401,$A26,Data!$A$2:$A$401,C$22)</f>
        <v>189187174</v>
      </c>
      <c r="D26" s="10" t="n">
        <f aca="false">SUMIFS(Data!$G$2:$G$401,Data!$B$2:$B$401,$A26,Data!$A$2:$A$401,D$22)</f>
        <v>163716807</v>
      </c>
      <c r="E26" s="10" t="n">
        <f aca="false">SUMIFS(Data!$G$2:$G$401,Data!$B$2:$B$401,$A26,Data!$A$2:$A$401,E$22)</f>
        <v>197408927</v>
      </c>
    </row>
    <row r="27" customFormat="false" ht="15" hidden="false" customHeight="false" outlineLevel="0" collapsed="false">
      <c r="A27" s="12" t="n">
        <v>46154</v>
      </c>
      <c r="B27" s="10" t="n">
        <f aca="false">SUMIFS(Data!$G$2:$G$401,Data!$B$2:$B$401,$A27,Data!$A$2:$A$401,B$22)</f>
        <v>184060733</v>
      </c>
      <c r="C27" s="10" t="n">
        <f aca="false">SUMIFS(Data!$G$2:$G$401,Data!$B$2:$B$401,$A27,Data!$A$2:$A$401,C$22)</f>
        <v>174758404</v>
      </c>
      <c r="D27" s="10" t="n">
        <f aca="false">SUMIFS(Data!$G$2:$G$401,Data!$B$2:$B$401,$A27,Data!$A$2:$A$401,D$22)</f>
        <v>182655677</v>
      </c>
      <c r="E27" s="10" t="n">
        <f aca="false">SUMIFS(Data!$G$2:$G$401,Data!$B$2:$B$401,$A27,Data!$A$2:$A$401,E$22)</f>
        <v>188913541</v>
      </c>
    </row>
    <row r="28" customFormat="false" ht="15" hidden="false" customHeight="false" outlineLevel="0" collapsed="false">
      <c r="A28" s="12" t="n">
        <v>46161</v>
      </c>
      <c r="B28" s="10" t="n">
        <f aca="false">SUMIFS(Data!$G$2:$G$401,Data!$B$2:$B$401,$A28,Data!$A$2:$A$401,B$22)</f>
        <v>185229116</v>
      </c>
      <c r="C28" s="10" t="n">
        <f aca="false">SUMIFS(Data!$G$2:$G$401,Data!$B$2:$B$401,$A28,Data!$A$2:$A$401,C$22)</f>
        <v>172269834</v>
      </c>
      <c r="D28" s="10" t="n">
        <f aca="false">SUMIFS(Data!$G$2:$G$401,Data!$B$2:$B$401,$A28,Data!$A$2:$A$401,D$22)</f>
        <v>183255114</v>
      </c>
      <c r="E28" s="10" t="n">
        <f aca="false">SUMIFS(Data!$G$2:$G$401,Data!$B$2:$B$401,$A28,Data!$A$2:$A$401,E$22)</f>
        <v>193380355</v>
      </c>
    </row>
    <row r="29" customFormat="false" ht="15" hidden="false" customHeight="false" outlineLevel="0" collapsed="false">
      <c r="A29" s="12" t="n">
        <v>46168</v>
      </c>
      <c r="B29" s="10" t="n">
        <f aca="false">SUMIFS(Data!$G$2:$G$401,Data!$B$2:$B$401,$A29,Data!$A$2:$A$401,B$22)</f>
        <v>158204492</v>
      </c>
      <c r="C29" s="10" t="n">
        <f aca="false">SUMIFS(Data!$G$2:$G$401,Data!$B$2:$B$401,$A29,Data!$A$2:$A$401,C$22)</f>
        <v>193533865</v>
      </c>
      <c r="D29" s="10" t="n">
        <f aca="false">SUMIFS(Data!$G$2:$G$401,Data!$B$2:$B$401,$A29,Data!$A$2:$A$401,D$22)</f>
        <v>170592163</v>
      </c>
      <c r="E29" s="10" t="n">
        <f aca="false">SUMIFS(Data!$G$2:$G$401,Data!$B$2:$B$401,$A29,Data!$A$2:$A$401,E$22)</f>
        <v>195391608</v>
      </c>
    </row>
    <row r="30" customFormat="false" ht="15" hidden="false" customHeight="false" outlineLevel="0" collapsed="false">
      <c r="A30" s="12" t="n">
        <v>46175</v>
      </c>
      <c r="B30" s="10" t="n">
        <f aca="false">SUMIFS(Data!$G$2:$G$401,Data!$B$2:$B$401,$A30,Data!$A$2:$A$401,B$22)</f>
        <v>149293285</v>
      </c>
      <c r="C30" s="10" t="n">
        <f aca="false">SUMIFS(Data!$G$2:$G$401,Data!$B$2:$B$401,$A30,Data!$A$2:$A$401,C$22)</f>
        <v>198144689</v>
      </c>
      <c r="D30" s="10" t="n">
        <f aca="false">SUMIFS(Data!$G$2:$G$401,Data!$B$2:$B$401,$A30,Data!$A$2:$A$401,D$22)</f>
        <v>181774691</v>
      </c>
      <c r="E30" s="10" t="n">
        <f aca="false">SUMIFS(Data!$G$2:$G$401,Data!$B$2:$B$401,$A30,Data!$A$2:$A$401,E$22)</f>
        <v>178823699</v>
      </c>
    </row>
    <row r="31" customFormat="false" ht="15" hidden="false" customHeight="false" outlineLevel="0" collapsed="false">
      <c r="A31" s="12" t="n">
        <v>46182</v>
      </c>
      <c r="B31" s="10" t="n">
        <f aca="false">SUMIFS(Data!$G$2:$G$401,Data!$B$2:$B$401,$A31,Data!$A$2:$A$401,B$22)</f>
        <v>195753760</v>
      </c>
      <c r="C31" s="10" t="n">
        <f aca="false">SUMIFS(Data!$G$2:$G$401,Data!$B$2:$B$401,$A31,Data!$A$2:$A$401,C$22)</f>
        <v>201365936</v>
      </c>
      <c r="D31" s="10" t="n">
        <f aca="false">SUMIFS(Data!$G$2:$G$401,Data!$B$2:$B$401,$A31,Data!$A$2:$A$401,D$22)</f>
        <v>186186505</v>
      </c>
      <c r="E31" s="10" t="n">
        <f aca="false">SUMIFS(Data!$G$2:$G$401,Data!$B$2:$B$401,$A31,Data!$A$2:$A$401,E$22)</f>
        <v>206362198</v>
      </c>
    </row>
    <row r="32" customFormat="false" ht="15" hidden="false" customHeight="false" outlineLevel="0" collapsed="false">
      <c r="A32" s="12" t="n">
        <v>46189</v>
      </c>
      <c r="B32" s="10" t="n">
        <f aca="false">SUMIFS(Data!$G$2:$G$401,Data!$B$2:$B$401,$A32,Data!$A$2:$A$401,B$22)</f>
        <v>179796963</v>
      </c>
      <c r="C32" s="10" t="n">
        <f aca="false">SUMIFS(Data!$G$2:$G$401,Data!$B$2:$B$401,$A32,Data!$A$2:$A$401,C$22)</f>
        <v>188386440</v>
      </c>
      <c r="D32" s="10" t="n">
        <f aca="false">SUMIFS(Data!$G$2:$G$401,Data!$B$2:$B$401,$A32,Data!$A$2:$A$401,D$22)</f>
        <v>147983461</v>
      </c>
      <c r="E32" s="10" t="n">
        <f aca="false">SUMIFS(Data!$G$2:$G$401,Data!$B$2:$B$401,$A32,Data!$A$2:$A$401,E$22)</f>
        <v>199015749</v>
      </c>
    </row>
    <row r="34" customFormat="false" ht="16.15" hidden="false" customHeight="false" outlineLevel="0" collapsed="false">
      <c r="A34" s="7" t="s">
        <v>20</v>
      </c>
    </row>
    <row r="35" customFormat="false" ht="15" hidden="false" customHeight="false" outlineLevel="0" collapsed="false">
      <c r="A35" s="8" t="s">
        <v>21</v>
      </c>
      <c r="B35" s="8" t="s">
        <v>22</v>
      </c>
      <c r="C35" s="8" t="s">
        <v>8</v>
      </c>
    </row>
    <row r="36" customFormat="false" ht="15" hidden="false" customHeight="false" outlineLevel="0" collapsed="false">
      <c r="A36" s="9" t="n">
        <v>1</v>
      </c>
      <c r="B36" s="9" t="str">
        <f aca="false">IFERROR(INDEX(Data!$C$2:$C$401,MATCH(1,(Data!$A$2:$A$401="Films (English)")*(Data!$B$2:$B$401=MAX(Data!$B$2:$B$401))*(Data!$F$2:$F$401=$A36),0)),"")</f>
        <v>Midnight Cargo</v>
      </c>
      <c r="C36" s="10" t="n">
        <f aca="false">IFERROR(INDEX(Data!$G$2:$G$401,MATCH(1,(Data!$A$2:$A$401="Films (English)")*(Data!$B$2:$B$401=MAX(Data!$B$2:$B$401))*(Data!$F$2:$F$401=$A36),0)),"")</f>
        <v>29774515</v>
      </c>
    </row>
    <row r="37" customFormat="false" ht="15" hidden="false" customHeight="false" outlineLevel="0" collapsed="false">
      <c r="A37" s="9" t="n">
        <v>2</v>
      </c>
      <c r="B37" s="9" t="str">
        <f aca="false">IFERROR(INDEX(Data!$C$2:$C$401,MATCH(1,(Data!$A$2:$A$401="Films (English)")*(Data!$B$2:$B$401=MAX(Data!$B$2:$B$401))*(Data!$F$2:$F$401=$A37),0)),"")</f>
        <v>The Last Signal</v>
      </c>
      <c r="C37" s="10" t="n">
        <f aca="false">IFERROR(INDEX(Data!$G$2:$G$401,MATCH(1,(Data!$A$2:$A$401="Films (English)")*(Data!$B$2:$B$401=MAX(Data!$B$2:$B$401))*(Data!$F$2:$F$401=$A37),0)),"")</f>
        <v>26035979</v>
      </c>
    </row>
    <row r="38" customFormat="false" ht="15" hidden="false" customHeight="false" outlineLevel="0" collapsed="false">
      <c r="A38" s="9" t="n">
        <v>3</v>
      </c>
      <c r="B38" s="9" t="str">
        <f aca="false">IFERROR(INDEX(Data!$C$2:$C$401,MATCH(1,(Data!$A$2:$A$401="Films (English)")*(Data!$B$2:$B$401=MAX(Data!$B$2:$B$401))*(Data!$F$2:$F$401=$A38),0)),"")</f>
        <v>Glass Harbor</v>
      </c>
      <c r="C38" s="10" t="n">
        <f aca="false">IFERROR(INDEX(Data!$G$2:$G$401,MATCH(1,(Data!$A$2:$A$401="Films (English)")*(Data!$B$2:$B$401=MAX(Data!$B$2:$B$401))*(Data!$F$2:$F$401=$A38),0)),"")</f>
        <v>25592326</v>
      </c>
    </row>
    <row r="39" customFormat="false" ht="15" hidden="false" customHeight="false" outlineLevel="0" collapsed="false">
      <c r="A39" s="9" t="n">
        <v>4</v>
      </c>
      <c r="B39" s="9" t="str">
        <f aca="false">IFERROR(INDEX(Data!$C$2:$C$401,MATCH(1,(Data!$A$2:$A$401="Films (English)")*(Data!$B$2:$B$401=MAX(Data!$B$2:$B$401))*(Data!$F$2:$F$401=$A39),0)),"")</f>
        <v>The Forgotten Wing</v>
      </c>
      <c r="C39" s="10" t="n">
        <f aca="false">IFERROR(INDEX(Data!$G$2:$G$401,MATCH(1,(Data!$A$2:$A$401="Films (English)")*(Data!$B$2:$B$401=MAX(Data!$B$2:$B$401))*(Data!$F$2:$F$401=$A39),0)),"")</f>
        <v>25335934</v>
      </c>
    </row>
    <row r="40" customFormat="false" ht="15" hidden="false" customHeight="false" outlineLevel="0" collapsed="false">
      <c r="A40" s="9" t="n">
        <v>5</v>
      </c>
      <c r="B40" s="9" t="str">
        <f aca="false">IFERROR(INDEX(Data!$C$2:$C$401,MATCH(1,(Data!$A$2:$A$401="Films (English)")*(Data!$B$2:$B$401=MAX(Data!$B$2:$B$401))*(Data!$F$2:$F$401=$A40),0)),"")</f>
        <v>Ridgeline</v>
      </c>
      <c r="C40" s="10" t="n">
        <f aca="false">IFERROR(INDEX(Data!$G$2:$G$401,MATCH(1,(Data!$A$2:$A$401="Films (English)")*(Data!$B$2:$B$401=MAX(Data!$B$2:$B$401))*(Data!$F$2:$F$401=$A40),0)),"")</f>
        <v>20476658</v>
      </c>
    </row>
    <row r="41" customFormat="false" ht="15" hidden="false" customHeight="false" outlineLevel="0" collapsed="false">
      <c r="A41" s="9" t="n">
        <v>6</v>
      </c>
      <c r="B41" s="9" t="str">
        <f aca="false">IFERROR(INDEX(Data!$C$2:$C$401,MATCH(1,(Data!$A$2:$A$401="Films (English)")*(Data!$B$2:$B$401=MAX(Data!$B$2:$B$401))*(Data!$F$2:$F$401=$A41),0)),"")</f>
        <v>Quiet Storm</v>
      </c>
      <c r="C41" s="10" t="n">
        <f aca="false">IFERROR(INDEX(Data!$G$2:$G$401,MATCH(1,(Data!$A$2:$A$401="Films (English)")*(Data!$B$2:$B$401=MAX(Data!$B$2:$B$401))*(Data!$F$2:$F$401=$A41),0)),"")</f>
        <v>19268922</v>
      </c>
    </row>
    <row r="42" customFormat="false" ht="15" hidden="false" customHeight="false" outlineLevel="0" collapsed="false">
      <c r="A42" s="9" t="n">
        <v>7</v>
      </c>
      <c r="B42" s="9" t="str">
        <f aca="false">IFERROR(INDEX(Data!$C$2:$C$401,MATCH(1,(Data!$A$2:$A$401="Films (English)")*(Data!$B$2:$B$401=MAX(Data!$B$2:$B$401))*(Data!$F$2:$F$401=$A42),0)),"")</f>
        <v>Northbound</v>
      </c>
      <c r="C42" s="10" t="n">
        <f aca="false">IFERROR(INDEX(Data!$G$2:$G$401,MATCH(1,(Data!$A$2:$A$401="Films (English)")*(Data!$B$2:$B$401=MAX(Data!$B$2:$B$401))*(Data!$F$2:$F$401=$A42),0)),"")</f>
        <v>11807944</v>
      </c>
    </row>
    <row r="43" customFormat="false" ht="15" hidden="false" customHeight="false" outlineLevel="0" collapsed="false">
      <c r="A43" s="9" t="n">
        <v>8</v>
      </c>
      <c r="B43" s="9" t="str">
        <f aca="false">IFERROR(INDEX(Data!$C$2:$C$401,MATCH(1,(Data!$A$2:$A$401="Films (English)")*(Data!$B$2:$B$401=MAX(Data!$B$2:$B$401))*(Data!$F$2:$F$401=$A43),0)),"")</f>
        <v>Crimson Tide Rising</v>
      </c>
      <c r="C43" s="10" t="n">
        <f aca="false">IFERROR(INDEX(Data!$G$2:$G$401,MATCH(1,(Data!$A$2:$A$401="Films (English)")*(Data!$B$2:$B$401=MAX(Data!$B$2:$B$401))*(Data!$F$2:$F$401=$A43),0)),"")</f>
        <v>8254767</v>
      </c>
    </row>
    <row r="44" customFormat="false" ht="15" hidden="false" customHeight="false" outlineLevel="0" collapsed="false">
      <c r="A44" s="9" t="n">
        <v>9</v>
      </c>
      <c r="B44" s="9" t="str">
        <f aca="false">IFERROR(INDEX(Data!$C$2:$C$401,MATCH(1,(Data!$A$2:$A$401="Films (English)")*(Data!$B$2:$B$401=MAX(Data!$B$2:$B$401))*(Data!$F$2:$F$401=$A44),0)),"")</f>
        <v>Saltwater</v>
      </c>
      <c r="C44" s="10" t="n">
        <f aca="false">IFERROR(INDEX(Data!$G$2:$G$401,MATCH(1,(Data!$A$2:$A$401="Films (English)")*(Data!$B$2:$B$401=MAX(Data!$B$2:$B$401))*(Data!$F$2:$F$401=$A44),0)),"")</f>
        <v>8196122</v>
      </c>
    </row>
    <row r="45" customFormat="false" ht="15" hidden="false" customHeight="false" outlineLevel="0" collapsed="false">
      <c r="A45" s="9" t="n">
        <v>10</v>
      </c>
      <c r="B45" s="9" t="str">
        <f aca="false">IFERROR(INDEX(Data!$C$2:$C$401,MATCH(1,(Data!$A$2:$A$401="Films (English)")*(Data!$B$2:$B$401=MAX(Data!$B$2:$B$401))*(Data!$F$2:$F$401=$A45),0)),"")</f>
        <v>Vermillion Heights</v>
      </c>
      <c r="C45" s="10" t="n">
        <f aca="false">IFERROR(INDEX(Data!$G$2:$G$401,MATCH(1,(Data!$A$2:$A$401="Films (English)")*(Data!$B$2:$B$401=MAX(Data!$B$2:$B$401))*(Data!$F$2:$F$401=$A45),0)),"")</f>
        <v>5053796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9"/>
  </cols>
  <sheetData>
    <row r="1" customFormat="false" ht="15" hidden="false" customHeight="false" outlineLevel="0" collapsed="false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</row>
    <row r="2" customFormat="false" ht="15" hidden="false" customHeight="false" outlineLevel="0" collapsed="false">
      <c r="A2" s="14" t="s">
        <v>12</v>
      </c>
      <c r="B2" s="15" t="n">
        <v>46126</v>
      </c>
      <c r="C2" s="14" t="s">
        <v>32</v>
      </c>
      <c r="D2" s="14"/>
      <c r="E2" s="14" t="n">
        <v>1</v>
      </c>
      <c r="F2" s="14" t="n">
        <v>1</v>
      </c>
      <c r="G2" s="16" t="n">
        <v>32290768</v>
      </c>
      <c r="H2" s="16" t="n">
        <v>17638842</v>
      </c>
      <c r="I2" s="14" t="s">
        <v>33</v>
      </c>
    </row>
    <row r="3" customFormat="false" ht="15" hidden="false" customHeight="false" outlineLevel="0" collapsed="false">
      <c r="A3" s="14" t="s">
        <v>12</v>
      </c>
      <c r="B3" s="15" t="n">
        <v>46126</v>
      </c>
      <c r="C3" s="14" t="s">
        <v>34</v>
      </c>
      <c r="D3" s="14"/>
      <c r="E3" s="14" t="n">
        <v>1</v>
      </c>
      <c r="F3" s="14" t="n">
        <v>2</v>
      </c>
      <c r="G3" s="16" t="n">
        <v>27452835</v>
      </c>
      <c r="H3" s="16" t="n">
        <v>16037389</v>
      </c>
      <c r="I3" s="14" t="s">
        <v>35</v>
      </c>
    </row>
    <row r="4" customFormat="false" ht="15" hidden="false" customHeight="false" outlineLevel="0" collapsed="false">
      <c r="A4" s="14" t="s">
        <v>12</v>
      </c>
      <c r="B4" s="15" t="n">
        <v>46126</v>
      </c>
      <c r="C4" s="14" t="s">
        <v>36</v>
      </c>
      <c r="D4" s="14"/>
      <c r="E4" s="14" t="n">
        <v>1</v>
      </c>
      <c r="F4" s="14" t="n">
        <v>3</v>
      </c>
      <c r="G4" s="16" t="n">
        <v>23214383</v>
      </c>
      <c r="H4" s="16" t="n">
        <v>13190540</v>
      </c>
      <c r="I4" s="14" t="s">
        <v>37</v>
      </c>
    </row>
    <row r="5" customFormat="false" ht="15" hidden="false" customHeight="false" outlineLevel="0" collapsed="false">
      <c r="A5" s="14" t="s">
        <v>12</v>
      </c>
      <c r="B5" s="15" t="n">
        <v>46126</v>
      </c>
      <c r="C5" s="14" t="s">
        <v>38</v>
      </c>
      <c r="D5" s="14"/>
      <c r="E5" s="14" t="n">
        <v>1</v>
      </c>
      <c r="F5" s="14" t="n">
        <v>4</v>
      </c>
      <c r="G5" s="16" t="n">
        <v>22582720</v>
      </c>
      <c r="H5" s="16" t="n">
        <v>10128871</v>
      </c>
      <c r="I5" s="14" t="s">
        <v>39</v>
      </c>
    </row>
    <row r="6" customFormat="false" ht="15" hidden="false" customHeight="false" outlineLevel="0" collapsed="false">
      <c r="A6" s="14" t="s">
        <v>12</v>
      </c>
      <c r="B6" s="15" t="n">
        <v>46126</v>
      </c>
      <c r="C6" s="14" t="s">
        <v>40</v>
      </c>
      <c r="D6" s="14"/>
      <c r="E6" s="14" t="n">
        <v>1</v>
      </c>
      <c r="F6" s="14" t="n">
        <v>5</v>
      </c>
      <c r="G6" s="16" t="n">
        <v>21264437</v>
      </c>
      <c r="H6" s="16" t="n">
        <v>9974496</v>
      </c>
      <c r="I6" s="14" t="s">
        <v>41</v>
      </c>
    </row>
    <row r="7" customFormat="false" ht="15" hidden="false" customHeight="false" outlineLevel="0" collapsed="false">
      <c r="A7" s="14" t="s">
        <v>12</v>
      </c>
      <c r="B7" s="15" t="n">
        <v>46126</v>
      </c>
      <c r="C7" s="14" t="s">
        <v>42</v>
      </c>
      <c r="D7" s="14"/>
      <c r="E7" s="14" t="n">
        <v>1</v>
      </c>
      <c r="F7" s="14" t="n">
        <v>6</v>
      </c>
      <c r="G7" s="16" t="n">
        <v>17077386</v>
      </c>
      <c r="H7" s="16" t="n">
        <v>7676667</v>
      </c>
      <c r="I7" s="14" t="s">
        <v>43</v>
      </c>
    </row>
    <row r="8" customFormat="false" ht="15" hidden="false" customHeight="false" outlineLevel="0" collapsed="false">
      <c r="A8" s="14" t="s">
        <v>12</v>
      </c>
      <c r="B8" s="15" t="n">
        <v>46126</v>
      </c>
      <c r="C8" s="14" t="s">
        <v>44</v>
      </c>
      <c r="D8" s="14"/>
      <c r="E8" s="14" t="n">
        <v>1</v>
      </c>
      <c r="F8" s="14" t="n">
        <v>7</v>
      </c>
      <c r="G8" s="16" t="n">
        <v>14552555</v>
      </c>
      <c r="H8" s="16" t="n">
        <v>7397851</v>
      </c>
      <c r="I8" s="14" t="s">
        <v>45</v>
      </c>
    </row>
    <row r="9" customFormat="false" ht="15" hidden="false" customHeight="false" outlineLevel="0" collapsed="false">
      <c r="A9" s="14" t="s">
        <v>12</v>
      </c>
      <c r="B9" s="15" t="n">
        <v>46126</v>
      </c>
      <c r="C9" s="14" t="s">
        <v>46</v>
      </c>
      <c r="D9" s="14"/>
      <c r="E9" s="14" t="n">
        <v>1</v>
      </c>
      <c r="F9" s="14" t="n">
        <v>8</v>
      </c>
      <c r="G9" s="16" t="n">
        <v>12284872</v>
      </c>
      <c r="H9" s="16" t="n">
        <v>7176423</v>
      </c>
      <c r="I9" s="14" t="s">
        <v>47</v>
      </c>
    </row>
    <row r="10" customFormat="false" ht="15" hidden="false" customHeight="false" outlineLevel="0" collapsed="false">
      <c r="A10" s="14" t="s">
        <v>12</v>
      </c>
      <c r="B10" s="15" t="n">
        <v>46126</v>
      </c>
      <c r="C10" s="14" t="s">
        <v>48</v>
      </c>
      <c r="D10" s="14"/>
      <c r="E10" s="14" t="n">
        <v>1</v>
      </c>
      <c r="F10" s="14" t="n">
        <v>9</v>
      </c>
      <c r="G10" s="16" t="n">
        <v>9938864</v>
      </c>
      <c r="H10" s="16" t="n">
        <v>5875338</v>
      </c>
      <c r="I10" s="14" t="s">
        <v>49</v>
      </c>
    </row>
    <row r="11" customFormat="false" ht="15" hidden="false" customHeight="false" outlineLevel="0" collapsed="false">
      <c r="A11" s="14" t="s">
        <v>12</v>
      </c>
      <c r="B11" s="15" t="n">
        <v>46126</v>
      </c>
      <c r="C11" s="14" t="s">
        <v>50</v>
      </c>
      <c r="D11" s="14"/>
      <c r="E11" s="14" t="n">
        <v>1</v>
      </c>
      <c r="F11" s="14" t="n">
        <v>10</v>
      </c>
      <c r="G11" s="16" t="n">
        <v>6933692</v>
      </c>
      <c r="H11" s="16" t="n">
        <v>3507396</v>
      </c>
      <c r="I11" s="14" t="s">
        <v>51</v>
      </c>
    </row>
    <row r="12" customFormat="false" ht="15" hidden="false" customHeight="false" outlineLevel="0" collapsed="false">
      <c r="A12" s="14" t="s">
        <v>13</v>
      </c>
      <c r="B12" s="15" t="n">
        <v>46126</v>
      </c>
      <c r="C12" s="14" t="s">
        <v>52</v>
      </c>
      <c r="D12" s="14"/>
      <c r="E12" s="14" t="n">
        <v>1</v>
      </c>
      <c r="F12" s="14" t="n">
        <v>1</v>
      </c>
      <c r="G12" s="16" t="n">
        <v>30564432</v>
      </c>
      <c r="H12" s="16" t="n">
        <v>18888274</v>
      </c>
      <c r="I12" s="14" t="s">
        <v>53</v>
      </c>
    </row>
    <row r="13" customFormat="false" ht="15" hidden="false" customHeight="false" outlineLevel="0" collapsed="false">
      <c r="A13" s="14" t="s">
        <v>13</v>
      </c>
      <c r="B13" s="15" t="n">
        <v>46126</v>
      </c>
      <c r="C13" s="14" t="s">
        <v>54</v>
      </c>
      <c r="D13" s="14"/>
      <c r="E13" s="14" t="n">
        <v>1</v>
      </c>
      <c r="F13" s="14" t="n">
        <v>2</v>
      </c>
      <c r="G13" s="16" t="n">
        <v>27956015</v>
      </c>
      <c r="H13" s="16" t="n">
        <v>12836299</v>
      </c>
      <c r="I13" s="14" t="s">
        <v>55</v>
      </c>
    </row>
    <row r="14" customFormat="false" ht="15" hidden="false" customHeight="false" outlineLevel="0" collapsed="false">
      <c r="A14" s="14" t="s">
        <v>13</v>
      </c>
      <c r="B14" s="15" t="n">
        <v>46126</v>
      </c>
      <c r="C14" s="14" t="s">
        <v>56</v>
      </c>
      <c r="D14" s="14"/>
      <c r="E14" s="14" t="n">
        <v>1</v>
      </c>
      <c r="F14" s="14" t="n">
        <v>3</v>
      </c>
      <c r="G14" s="16" t="n">
        <v>25834110</v>
      </c>
      <c r="H14" s="16" t="n">
        <v>13117078</v>
      </c>
      <c r="I14" s="14" t="s">
        <v>57</v>
      </c>
    </row>
    <row r="15" customFormat="false" ht="15" hidden="false" customHeight="false" outlineLevel="0" collapsed="false">
      <c r="A15" s="14" t="s">
        <v>13</v>
      </c>
      <c r="B15" s="15" t="n">
        <v>46126</v>
      </c>
      <c r="C15" s="14" t="s">
        <v>58</v>
      </c>
      <c r="D15" s="14"/>
      <c r="E15" s="14" t="n">
        <v>1</v>
      </c>
      <c r="F15" s="14" t="n">
        <v>4</v>
      </c>
      <c r="G15" s="16" t="n">
        <v>21838621</v>
      </c>
      <c r="H15" s="16" t="n">
        <v>10914749</v>
      </c>
      <c r="I15" s="14" t="s">
        <v>59</v>
      </c>
    </row>
    <row r="16" customFormat="false" ht="15" hidden="false" customHeight="false" outlineLevel="0" collapsed="false">
      <c r="A16" s="14" t="s">
        <v>13</v>
      </c>
      <c r="B16" s="15" t="n">
        <v>46126</v>
      </c>
      <c r="C16" s="14" t="s">
        <v>60</v>
      </c>
      <c r="D16" s="14"/>
      <c r="E16" s="14" t="n">
        <v>1</v>
      </c>
      <c r="F16" s="14" t="n">
        <v>5</v>
      </c>
      <c r="G16" s="16" t="n">
        <v>21825440</v>
      </c>
      <c r="H16" s="16" t="n">
        <v>12675578</v>
      </c>
      <c r="I16" s="14" t="s">
        <v>61</v>
      </c>
    </row>
    <row r="17" customFormat="false" ht="15" hidden="false" customHeight="false" outlineLevel="0" collapsed="false">
      <c r="A17" s="14" t="s">
        <v>13</v>
      </c>
      <c r="B17" s="15" t="n">
        <v>46126</v>
      </c>
      <c r="C17" s="14" t="s">
        <v>62</v>
      </c>
      <c r="D17" s="14"/>
      <c r="E17" s="14" t="n">
        <v>1</v>
      </c>
      <c r="F17" s="14" t="n">
        <v>6</v>
      </c>
      <c r="G17" s="16" t="n">
        <v>21375977</v>
      </c>
      <c r="H17" s="16" t="n">
        <v>10923247</v>
      </c>
      <c r="I17" s="14" t="s">
        <v>63</v>
      </c>
    </row>
    <row r="18" customFormat="false" ht="15" hidden="false" customHeight="false" outlineLevel="0" collapsed="false">
      <c r="A18" s="14" t="s">
        <v>13</v>
      </c>
      <c r="B18" s="15" t="n">
        <v>46126</v>
      </c>
      <c r="C18" s="14" t="s">
        <v>64</v>
      </c>
      <c r="D18" s="14"/>
      <c r="E18" s="14" t="n">
        <v>1</v>
      </c>
      <c r="F18" s="14" t="n">
        <v>7</v>
      </c>
      <c r="G18" s="16" t="n">
        <v>17297478</v>
      </c>
      <c r="H18" s="16" t="n">
        <v>9080913</v>
      </c>
      <c r="I18" s="14" t="s">
        <v>33</v>
      </c>
    </row>
    <row r="19" customFormat="false" ht="15" hidden="false" customHeight="false" outlineLevel="0" collapsed="false">
      <c r="A19" s="14" t="s">
        <v>13</v>
      </c>
      <c r="B19" s="15" t="n">
        <v>46126</v>
      </c>
      <c r="C19" s="14" t="s">
        <v>65</v>
      </c>
      <c r="D19" s="14"/>
      <c r="E19" s="14" t="n">
        <v>1</v>
      </c>
      <c r="F19" s="14" t="n">
        <v>8</v>
      </c>
      <c r="G19" s="16" t="n">
        <v>17240194</v>
      </c>
      <c r="H19" s="16" t="n">
        <v>8193128</v>
      </c>
      <c r="I19" s="14" t="s">
        <v>66</v>
      </c>
    </row>
    <row r="20" customFormat="false" ht="15" hidden="false" customHeight="false" outlineLevel="0" collapsed="false">
      <c r="A20" s="14" t="s">
        <v>13</v>
      </c>
      <c r="B20" s="15" t="n">
        <v>46126</v>
      </c>
      <c r="C20" s="14" t="s">
        <v>67</v>
      </c>
      <c r="D20" s="14"/>
      <c r="E20" s="14" t="n">
        <v>1</v>
      </c>
      <c r="F20" s="14" t="n">
        <v>9</v>
      </c>
      <c r="G20" s="16" t="n">
        <v>16232461</v>
      </c>
      <c r="H20" s="16" t="n">
        <v>8591103</v>
      </c>
      <c r="I20" s="14" t="s">
        <v>68</v>
      </c>
    </row>
    <row r="21" customFormat="false" ht="15" hidden="false" customHeight="false" outlineLevel="0" collapsed="false">
      <c r="A21" s="14" t="s">
        <v>13</v>
      </c>
      <c r="B21" s="15" t="n">
        <v>46126</v>
      </c>
      <c r="C21" s="14" t="s">
        <v>69</v>
      </c>
      <c r="D21" s="14"/>
      <c r="E21" s="14" t="n">
        <v>1</v>
      </c>
      <c r="F21" s="14" t="n">
        <v>10</v>
      </c>
      <c r="G21" s="16" t="n">
        <v>9333693</v>
      </c>
      <c r="H21" s="16" t="n">
        <v>5508538</v>
      </c>
      <c r="I21" s="14" t="s">
        <v>55</v>
      </c>
    </row>
    <row r="22" customFormat="false" ht="15" hidden="false" customHeight="false" outlineLevel="0" collapsed="false">
      <c r="A22" s="14" t="s">
        <v>14</v>
      </c>
      <c r="B22" s="15" t="n">
        <v>46126</v>
      </c>
      <c r="C22" s="14" t="s">
        <v>70</v>
      </c>
      <c r="D22" s="14" t="s">
        <v>71</v>
      </c>
      <c r="E22" s="14" t="n">
        <v>1</v>
      </c>
      <c r="F22" s="14" t="n">
        <v>1</v>
      </c>
      <c r="G22" s="16" t="n">
        <v>28477989</v>
      </c>
      <c r="H22" s="16" t="n">
        <v>17077686</v>
      </c>
      <c r="I22" s="14" t="s">
        <v>72</v>
      </c>
    </row>
    <row r="23" customFormat="false" ht="15" hidden="false" customHeight="false" outlineLevel="0" collapsed="false">
      <c r="A23" s="14" t="s">
        <v>14</v>
      </c>
      <c r="B23" s="15" t="n">
        <v>46126</v>
      </c>
      <c r="C23" s="14" t="s">
        <v>73</v>
      </c>
      <c r="D23" s="14" t="s">
        <v>71</v>
      </c>
      <c r="E23" s="14" t="n">
        <v>1</v>
      </c>
      <c r="F23" s="14" t="n">
        <v>2</v>
      </c>
      <c r="G23" s="16" t="n">
        <v>24594416</v>
      </c>
      <c r="H23" s="16" t="n">
        <v>15058192</v>
      </c>
      <c r="I23" s="14" t="s">
        <v>74</v>
      </c>
    </row>
    <row r="24" customFormat="false" ht="15" hidden="false" customHeight="false" outlineLevel="0" collapsed="false">
      <c r="A24" s="14" t="s">
        <v>14</v>
      </c>
      <c r="B24" s="15" t="n">
        <v>46126</v>
      </c>
      <c r="C24" s="14" t="s">
        <v>75</v>
      </c>
      <c r="D24" s="14" t="s">
        <v>76</v>
      </c>
      <c r="E24" s="14" t="n">
        <v>1</v>
      </c>
      <c r="F24" s="14" t="n">
        <v>3</v>
      </c>
      <c r="G24" s="16" t="n">
        <v>22351240</v>
      </c>
      <c r="H24" s="16" t="n">
        <v>11991722</v>
      </c>
      <c r="I24" s="14" t="s">
        <v>77</v>
      </c>
    </row>
    <row r="25" customFormat="false" ht="15" hidden="false" customHeight="false" outlineLevel="0" collapsed="false">
      <c r="A25" s="14" t="s">
        <v>14</v>
      </c>
      <c r="B25" s="15" t="n">
        <v>46126</v>
      </c>
      <c r="C25" s="14" t="s">
        <v>78</v>
      </c>
      <c r="D25" s="14" t="s">
        <v>71</v>
      </c>
      <c r="E25" s="14" t="n">
        <v>1</v>
      </c>
      <c r="F25" s="14" t="n">
        <v>4</v>
      </c>
      <c r="G25" s="16" t="n">
        <v>19560742</v>
      </c>
      <c r="H25" s="16" t="n">
        <v>11624461</v>
      </c>
      <c r="I25" s="14" t="s">
        <v>79</v>
      </c>
    </row>
    <row r="26" customFormat="false" ht="15" hidden="false" customHeight="false" outlineLevel="0" collapsed="false">
      <c r="A26" s="14" t="s">
        <v>14</v>
      </c>
      <c r="B26" s="15" t="n">
        <v>46126</v>
      </c>
      <c r="C26" s="14" t="s">
        <v>80</v>
      </c>
      <c r="D26" s="14" t="s">
        <v>81</v>
      </c>
      <c r="E26" s="14" t="n">
        <v>1</v>
      </c>
      <c r="F26" s="14" t="n">
        <v>5</v>
      </c>
      <c r="G26" s="16" t="n">
        <v>19044768</v>
      </c>
      <c r="H26" s="16" t="n">
        <v>10967491</v>
      </c>
      <c r="I26" s="14" t="s">
        <v>66</v>
      </c>
    </row>
    <row r="27" customFormat="false" ht="15" hidden="false" customHeight="false" outlineLevel="0" collapsed="false">
      <c r="A27" s="14" t="s">
        <v>14</v>
      </c>
      <c r="B27" s="15" t="n">
        <v>46126</v>
      </c>
      <c r="C27" s="14" t="s">
        <v>82</v>
      </c>
      <c r="D27" s="14" t="s">
        <v>71</v>
      </c>
      <c r="E27" s="14" t="n">
        <v>1</v>
      </c>
      <c r="F27" s="14" t="n">
        <v>6</v>
      </c>
      <c r="G27" s="16" t="n">
        <v>15055818</v>
      </c>
      <c r="H27" s="16" t="n">
        <v>7291486</v>
      </c>
      <c r="I27" s="14" t="s">
        <v>83</v>
      </c>
    </row>
    <row r="28" customFormat="false" ht="15" hidden="false" customHeight="false" outlineLevel="0" collapsed="false">
      <c r="A28" s="14" t="s">
        <v>14</v>
      </c>
      <c r="B28" s="15" t="n">
        <v>46126</v>
      </c>
      <c r="C28" s="14" t="s">
        <v>84</v>
      </c>
      <c r="D28" s="14" t="s">
        <v>76</v>
      </c>
      <c r="E28" s="14" t="n">
        <v>1</v>
      </c>
      <c r="F28" s="14" t="n">
        <v>7</v>
      </c>
      <c r="G28" s="16" t="n">
        <v>14983336</v>
      </c>
      <c r="H28" s="16" t="n">
        <v>7228784</v>
      </c>
      <c r="I28" s="14" t="s">
        <v>85</v>
      </c>
    </row>
    <row r="29" customFormat="false" ht="15" hidden="false" customHeight="false" outlineLevel="0" collapsed="false">
      <c r="A29" s="14" t="s">
        <v>14</v>
      </c>
      <c r="B29" s="15" t="n">
        <v>46126</v>
      </c>
      <c r="C29" s="14" t="s">
        <v>86</v>
      </c>
      <c r="D29" s="14" t="s">
        <v>71</v>
      </c>
      <c r="E29" s="14" t="n">
        <v>1</v>
      </c>
      <c r="F29" s="14" t="n">
        <v>8</v>
      </c>
      <c r="G29" s="16" t="n">
        <v>11498780</v>
      </c>
      <c r="H29" s="16" t="n">
        <v>4858268</v>
      </c>
      <c r="I29" s="14" t="s">
        <v>87</v>
      </c>
    </row>
    <row r="30" customFormat="false" ht="15" hidden="false" customHeight="false" outlineLevel="0" collapsed="false">
      <c r="A30" s="14" t="s">
        <v>14</v>
      </c>
      <c r="B30" s="15" t="n">
        <v>46126</v>
      </c>
      <c r="C30" s="14" t="s">
        <v>88</v>
      </c>
      <c r="D30" s="14" t="s">
        <v>76</v>
      </c>
      <c r="E30" s="14" t="n">
        <v>1</v>
      </c>
      <c r="F30" s="14" t="n">
        <v>9</v>
      </c>
      <c r="G30" s="16" t="n">
        <v>8120558</v>
      </c>
      <c r="H30" s="16" t="n">
        <v>3647741</v>
      </c>
      <c r="I30" s="14" t="s">
        <v>89</v>
      </c>
    </row>
    <row r="31" customFormat="false" ht="15" hidden="false" customHeight="false" outlineLevel="0" collapsed="false">
      <c r="A31" s="14" t="s">
        <v>14</v>
      </c>
      <c r="B31" s="15" t="n">
        <v>46126</v>
      </c>
      <c r="C31" s="14" t="s">
        <v>90</v>
      </c>
      <c r="D31" s="14" t="s">
        <v>71</v>
      </c>
      <c r="E31" s="14" t="n">
        <v>1</v>
      </c>
      <c r="F31" s="14" t="n">
        <v>10</v>
      </c>
      <c r="G31" s="16" t="n">
        <v>7333091</v>
      </c>
      <c r="H31" s="16" t="n">
        <v>3686217</v>
      </c>
      <c r="I31" s="14" t="s">
        <v>51</v>
      </c>
    </row>
    <row r="32" customFormat="false" ht="15" hidden="false" customHeight="false" outlineLevel="0" collapsed="false">
      <c r="A32" s="14" t="s">
        <v>15</v>
      </c>
      <c r="B32" s="15" t="n">
        <v>46126</v>
      </c>
      <c r="C32" s="14" t="s">
        <v>91</v>
      </c>
      <c r="D32" s="14" t="s">
        <v>76</v>
      </c>
      <c r="E32" s="14" t="n">
        <v>1</v>
      </c>
      <c r="F32" s="14" t="n">
        <v>1</v>
      </c>
      <c r="G32" s="16" t="n">
        <v>30072129</v>
      </c>
      <c r="H32" s="16" t="n">
        <v>13385610</v>
      </c>
      <c r="I32" s="14" t="s">
        <v>92</v>
      </c>
    </row>
    <row r="33" customFormat="false" ht="15" hidden="false" customHeight="false" outlineLevel="0" collapsed="false">
      <c r="A33" s="14" t="s">
        <v>15</v>
      </c>
      <c r="B33" s="15" t="n">
        <v>46126</v>
      </c>
      <c r="C33" s="14" t="s">
        <v>93</v>
      </c>
      <c r="D33" s="14" t="s">
        <v>76</v>
      </c>
      <c r="E33" s="14" t="n">
        <v>1</v>
      </c>
      <c r="F33" s="14" t="n">
        <v>2</v>
      </c>
      <c r="G33" s="16" t="n">
        <v>27169312</v>
      </c>
      <c r="H33" s="16" t="n">
        <v>11501116</v>
      </c>
      <c r="I33" s="14" t="s">
        <v>94</v>
      </c>
    </row>
    <row r="34" customFormat="false" ht="15" hidden="false" customHeight="false" outlineLevel="0" collapsed="false">
      <c r="A34" s="14" t="s">
        <v>15</v>
      </c>
      <c r="B34" s="15" t="n">
        <v>46126</v>
      </c>
      <c r="C34" s="14" t="s">
        <v>95</v>
      </c>
      <c r="D34" s="14" t="s">
        <v>76</v>
      </c>
      <c r="E34" s="14" t="n">
        <v>1</v>
      </c>
      <c r="F34" s="14" t="n">
        <v>3</v>
      </c>
      <c r="G34" s="16" t="n">
        <v>24902993</v>
      </c>
      <c r="H34" s="16" t="n">
        <v>12376951</v>
      </c>
      <c r="I34" s="14" t="s">
        <v>96</v>
      </c>
    </row>
    <row r="35" customFormat="false" ht="15" hidden="false" customHeight="false" outlineLevel="0" collapsed="false">
      <c r="A35" s="14" t="s">
        <v>15</v>
      </c>
      <c r="B35" s="15" t="n">
        <v>46126</v>
      </c>
      <c r="C35" s="14" t="s">
        <v>97</v>
      </c>
      <c r="D35" s="14" t="s">
        <v>76</v>
      </c>
      <c r="E35" s="14" t="n">
        <v>1</v>
      </c>
      <c r="F35" s="14" t="n">
        <v>4</v>
      </c>
      <c r="G35" s="16" t="n">
        <v>24761442</v>
      </c>
      <c r="H35" s="16" t="n">
        <v>10542010</v>
      </c>
      <c r="I35" s="14" t="s">
        <v>74</v>
      </c>
    </row>
    <row r="36" customFormat="false" ht="15" hidden="false" customHeight="false" outlineLevel="0" collapsed="false">
      <c r="A36" s="14" t="s">
        <v>15</v>
      </c>
      <c r="B36" s="15" t="n">
        <v>46126</v>
      </c>
      <c r="C36" s="14" t="s">
        <v>98</v>
      </c>
      <c r="D36" s="14" t="s">
        <v>71</v>
      </c>
      <c r="E36" s="14" t="n">
        <v>1</v>
      </c>
      <c r="F36" s="14" t="n">
        <v>5</v>
      </c>
      <c r="G36" s="16" t="n">
        <v>24208454</v>
      </c>
      <c r="H36" s="16" t="n">
        <v>14797990</v>
      </c>
      <c r="I36" s="14" t="s">
        <v>66</v>
      </c>
    </row>
    <row r="37" customFormat="false" ht="15" hidden="false" customHeight="false" outlineLevel="0" collapsed="false">
      <c r="A37" s="14" t="s">
        <v>15</v>
      </c>
      <c r="B37" s="15" t="n">
        <v>46126</v>
      </c>
      <c r="C37" s="14" t="s">
        <v>99</v>
      </c>
      <c r="D37" s="14" t="s">
        <v>81</v>
      </c>
      <c r="E37" s="14" t="n">
        <v>1</v>
      </c>
      <c r="F37" s="14" t="n">
        <v>6</v>
      </c>
      <c r="G37" s="16" t="n">
        <v>23048051</v>
      </c>
      <c r="H37" s="16" t="n">
        <v>9627823</v>
      </c>
      <c r="I37" s="14" t="s">
        <v>100</v>
      </c>
    </row>
    <row r="38" customFormat="false" ht="15" hidden="false" customHeight="false" outlineLevel="0" collapsed="false">
      <c r="A38" s="14" t="s">
        <v>15</v>
      </c>
      <c r="B38" s="15" t="n">
        <v>46126</v>
      </c>
      <c r="C38" s="14" t="s">
        <v>101</v>
      </c>
      <c r="D38" s="14" t="s">
        <v>81</v>
      </c>
      <c r="E38" s="14" t="n">
        <v>1</v>
      </c>
      <c r="F38" s="14" t="n">
        <v>7</v>
      </c>
      <c r="G38" s="16" t="n">
        <v>22486954</v>
      </c>
      <c r="H38" s="16" t="n">
        <v>10226519</v>
      </c>
      <c r="I38" s="14" t="s">
        <v>102</v>
      </c>
    </row>
    <row r="39" customFormat="false" ht="15" hidden="false" customHeight="false" outlineLevel="0" collapsed="false">
      <c r="A39" s="14" t="s">
        <v>15</v>
      </c>
      <c r="B39" s="15" t="n">
        <v>46126</v>
      </c>
      <c r="C39" s="14" t="s">
        <v>103</v>
      </c>
      <c r="D39" s="14" t="s">
        <v>71</v>
      </c>
      <c r="E39" s="14" t="n">
        <v>1</v>
      </c>
      <c r="F39" s="14" t="n">
        <v>8</v>
      </c>
      <c r="G39" s="16" t="n">
        <v>13795966</v>
      </c>
      <c r="H39" s="16" t="n">
        <v>5960005</v>
      </c>
      <c r="I39" s="14" t="s">
        <v>104</v>
      </c>
    </row>
    <row r="40" customFormat="false" ht="15" hidden="false" customHeight="false" outlineLevel="0" collapsed="false">
      <c r="A40" s="14" t="s">
        <v>15</v>
      </c>
      <c r="B40" s="15" t="n">
        <v>46126</v>
      </c>
      <c r="C40" s="14" t="s">
        <v>105</v>
      </c>
      <c r="D40" s="14" t="s">
        <v>81</v>
      </c>
      <c r="E40" s="14" t="n">
        <v>1</v>
      </c>
      <c r="F40" s="14" t="n">
        <v>9</v>
      </c>
      <c r="G40" s="16" t="n">
        <v>13783523</v>
      </c>
      <c r="H40" s="16" t="n">
        <v>7439521</v>
      </c>
      <c r="I40" s="14" t="s">
        <v>106</v>
      </c>
    </row>
    <row r="41" customFormat="false" ht="15" hidden="false" customHeight="false" outlineLevel="0" collapsed="false">
      <c r="A41" s="14" t="s">
        <v>15</v>
      </c>
      <c r="B41" s="15" t="n">
        <v>46126</v>
      </c>
      <c r="C41" s="14" t="s">
        <v>107</v>
      </c>
      <c r="D41" s="14" t="s">
        <v>71</v>
      </c>
      <c r="E41" s="14" t="n">
        <v>1</v>
      </c>
      <c r="F41" s="14" t="n">
        <v>10</v>
      </c>
      <c r="G41" s="16" t="n">
        <v>6501975</v>
      </c>
      <c r="H41" s="16" t="n">
        <v>3053532</v>
      </c>
      <c r="I41" s="14" t="s">
        <v>108</v>
      </c>
    </row>
    <row r="42" customFormat="false" ht="15" hidden="false" customHeight="false" outlineLevel="0" collapsed="false">
      <c r="A42" s="14" t="s">
        <v>12</v>
      </c>
      <c r="B42" s="15" t="n">
        <v>46133</v>
      </c>
      <c r="C42" s="14" t="s">
        <v>32</v>
      </c>
      <c r="D42" s="14"/>
      <c r="E42" s="14" t="n">
        <v>2</v>
      </c>
      <c r="F42" s="14" t="n">
        <v>1</v>
      </c>
      <c r="G42" s="16" t="n">
        <v>31202288</v>
      </c>
      <c r="H42" s="16" t="n">
        <v>15110847</v>
      </c>
      <c r="I42" s="14" t="s">
        <v>87</v>
      </c>
    </row>
    <row r="43" customFormat="false" ht="15" hidden="false" customHeight="false" outlineLevel="0" collapsed="false">
      <c r="A43" s="14" t="s">
        <v>12</v>
      </c>
      <c r="B43" s="15" t="n">
        <v>46133</v>
      </c>
      <c r="C43" s="14" t="s">
        <v>36</v>
      </c>
      <c r="D43" s="14"/>
      <c r="E43" s="14" t="n">
        <v>2</v>
      </c>
      <c r="F43" s="14" t="n">
        <v>2</v>
      </c>
      <c r="G43" s="16" t="n">
        <v>23107562</v>
      </c>
      <c r="H43" s="16" t="n">
        <v>10300702</v>
      </c>
      <c r="I43" s="14" t="s">
        <v>109</v>
      </c>
    </row>
    <row r="44" customFormat="false" ht="15" hidden="false" customHeight="false" outlineLevel="0" collapsed="false">
      <c r="A44" s="14" t="s">
        <v>12</v>
      </c>
      <c r="B44" s="15" t="n">
        <v>46133</v>
      </c>
      <c r="C44" s="14" t="s">
        <v>34</v>
      </c>
      <c r="D44" s="14"/>
      <c r="E44" s="14" t="n">
        <v>2</v>
      </c>
      <c r="F44" s="14" t="n">
        <v>3</v>
      </c>
      <c r="G44" s="16" t="n">
        <v>22829413</v>
      </c>
      <c r="H44" s="16" t="n">
        <v>10509203</v>
      </c>
      <c r="I44" s="14" t="s">
        <v>55</v>
      </c>
    </row>
    <row r="45" customFormat="false" ht="15" hidden="false" customHeight="false" outlineLevel="0" collapsed="false">
      <c r="A45" s="14" t="s">
        <v>12</v>
      </c>
      <c r="B45" s="15" t="n">
        <v>46133</v>
      </c>
      <c r="C45" s="14" t="s">
        <v>38</v>
      </c>
      <c r="D45" s="14"/>
      <c r="E45" s="14" t="n">
        <v>2</v>
      </c>
      <c r="F45" s="14" t="n">
        <v>4</v>
      </c>
      <c r="G45" s="16" t="n">
        <v>22567999</v>
      </c>
      <c r="H45" s="16" t="n">
        <v>13237557</v>
      </c>
      <c r="I45" s="14" t="s">
        <v>110</v>
      </c>
    </row>
    <row r="46" customFormat="false" ht="15" hidden="false" customHeight="false" outlineLevel="0" collapsed="false">
      <c r="A46" s="14" t="s">
        <v>12</v>
      </c>
      <c r="B46" s="15" t="n">
        <v>46133</v>
      </c>
      <c r="C46" s="14" t="s">
        <v>40</v>
      </c>
      <c r="D46" s="14"/>
      <c r="E46" s="14" t="n">
        <v>2</v>
      </c>
      <c r="F46" s="14" t="n">
        <v>5</v>
      </c>
      <c r="G46" s="16" t="n">
        <v>21071022</v>
      </c>
      <c r="H46" s="16" t="n">
        <v>12401991</v>
      </c>
      <c r="I46" s="14" t="s">
        <v>47</v>
      </c>
    </row>
    <row r="47" customFormat="false" ht="15" hidden="false" customHeight="false" outlineLevel="0" collapsed="false">
      <c r="A47" s="14" t="s">
        <v>12</v>
      </c>
      <c r="B47" s="15" t="n">
        <v>46133</v>
      </c>
      <c r="C47" s="14" t="s">
        <v>44</v>
      </c>
      <c r="D47" s="14"/>
      <c r="E47" s="14" t="n">
        <v>2</v>
      </c>
      <c r="F47" s="14" t="n">
        <v>6</v>
      </c>
      <c r="G47" s="16" t="n">
        <v>16388098</v>
      </c>
      <c r="H47" s="16" t="n">
        <v>8544089</v>
      </c>
      <c r="I47" s="14" t="s">
        <v>111</v>
      </c>
    </row>
    <row r="48" customFormat="false" ht="15" hidden="false" customHeight="false" outlineLevel="0" collapsed="false">
      <c r="A48" s="14" t="s">
        <v>12</v>
      </c>
      <c r="B48" s="15" t="n">
        <v>46133</v>
      </c>
      <c r="C48" s="14" t="s">
        <v>46</v>
      </c>
      <c r="D48" s="14"/>
      <c r="E48" s="14" t="n">
        <v>2</v>
      </c>
      <c r="F48" s="14" t="n">
        <v>7</v>
      </c>
      <c r="G48" s="16" t="n">
        <v>10825278</v>
      </c>
      <c r="H48" s="16" t="n">
        <v>5880877</v>
      </c>
      <c r="I48" s="14" t="s">
        <v>112</v>
      </c>
    </row>
    <row r="49" customFormat="false" ht="15" hidden="false" customHeight="false" outlineLevel="0" collapsed="false">
      <c r="A49" s="14" t="s">
        <v>12</v>
      </c>
      <c r="B49" s="15" t="n">
        <v>46133</v>
      </c>
      <c r="C49" s="14" t="s">
        <v>48</v>
      </c>
      <c r="D49" s="14"/>
      <c r="E49" s="14" t="n">
        <v>2</v>
      </c>
      <c r="F49" s="14" t="n">
        <v>8</v>
      </c>
      <c r="G49" s="16" t="n">
        <v>10352964</v>
      </c>
      <c r="H49" s="16" t="n">
        <v>4859881</v>
      </c>
      <c r="I49" s="14" t="s">
        <v>113</v>
      </c>
    </row>
    <row r="50" customFormat="false" ht="15" hidden="false" customHeight="false" outlineLevel="0" collapsed="false">
      <c r="A50" s="14" t="s">
        <v>12</v>
      </c>
      <c r="B50" s="15" t="n">
        <v>46133</v>
      </c>
      <c r="C50" s="14" t="s">
        <v>114</v>
      </c>
      <c r="D50" s="14"/>
      <c r="E50" s="14" t="n">
        <v>1</v>
      </c>
      <c r="F50" s="14" t="n">
        <v>9</v>
      </c>
      <c r="G50" s="16" t="n">
        <v>8997233</v>
      </c>
      <c r="H50" s="16" t="n">
        <v>3805133</v>
      </c>
      <c r="I50" s="14" t="s">
        <v>115</v>
      </c>
    </row>
    <row r="51" customFormat="false" ht="15" hidden="false" customHeight="false" outlineLevel="0" collapsed="false">
      <c r="A51" s="14" t="s">
        <v>12</v>
      </c>
      <c r="B51" s="15" t="n">
        <v>46133</v>
      </c>
      <c r="C51" s="14" t="s">
        <v>50</v>
      </c>
      <c r="D51" s="14"/>
      <c r="E51" s="14" t="n">
        <v>2</v>
      </c>
      <c r="F51" s="14" t="n">
        <v>10</v>
      </c>
      <c r="G51" s="16" t="n">
        <v>5137363</v>
      </c>
      <c r="H51" s="16" t="n">
        <v>2195598</v>
      </c>
      <c r="I51" s="14" t="s">
        <v>116</v>
      </c>
    </row>
    <row r="52" customFormat="false" ht="15" hidden="false" customHeight="false" outlineLevel="0" collapsed="false">
      <c r="A52" s="14" t="s">
        <v>13</v>
      </c>
      <c r="B52" s="15" t="n">
        <v>46133</v>
      </c>
      <c r="C52" s="14" t="s">
        <v>58</v>
      </c>
      <c r="D52" s="14"/>
      <c r="E52" s="14" t="n">
        <v>2</v>
      </c>
      <c r="F52" s="14" t="n">
        <v>1</v>
      </c>
      <c r="G52" s="16" t="n">
        <v>28793123</v>
      </c>
      <c r="H52" s="16" t="n">
        <v>14667040</v>
      </c>
      <c r="I52" s="14" t="s">
        <v>117</v>
      </c>
    </row>
    <row r="53" customFormat="false" ht="15" hidden="false" customHeight="false" outlineLevel="0" collapsed="false">
      <c r="A53" s="14" t="s">
        <v>13</v>
      </c>
      <c r="B53" s="15" t="n">
        <v>46133</v>
      </c>
      <c r="C53" s="14" t="s">
        <v>60</v>
      </c>
      <c r="D53" s="14"/>
      <c r="E53" s="14" t="n">
        <v>2</v>
      </c>
      <c r="F53" s="14" t="n">
        <v>2</v>
      </c>
      <c r="G53" s="16" t="n">
        <v>23074423</v>
      </c>
      <c r="H53" s="16" t="n">
        <v>12895566</v>
      </c>
      <c r="I53" s="14" t="s">
        <v>118</v>
      </c>
    </row>
    <row r="54" customFormat="false" ht="15" hidden="false" customHeight="false" outlineLevel="0" collapsed="false">
      <c r="A54" s="14" t="s">
        <v>13</v>
      </c>
      <c r="B54" s="15" t="n">
        <v>46133</v>
      </c>
      <c r="C54" s="14" t="s">
        <v>52</v>
      </c>
      <c r="D54" s="14"/>
      <c r="E54" s="14" t="n">
        <v>2</v>
      </c>
      <c r="F54" s="14" t="n">
        <v>3</v>
      </c>
      <c r="G54" s="16" t="n">
        <v>22841442</v>
      </c>
      <c r="H54" s="16" t="n">
        <v>10397543</v>
      </c>
      <c r="I54" s="14" t="s">
        <v>119</v>
      </c>
    </row>
    <row r="55" customFormat="false" ht="15" hidden="false" customHeight="false" outlineLevel="0" collapsed="false">
      <c r="A55" s="14" t="s">
        <v>13</v>
      </c>
      <c r="B55" s="15" t="n">
        <v>46133</v>
      </c>
      <c r="C55" s="14" t="s">
        <v>54</v>
      </c>
      <c r="D55" s="14"/>
      <c r="E55" s="14" t="n">
        <v>2</v>
      </c>
      <c r="F55" s="14" t="n">
        <v>4</v>
      </c>
      <c r="G55" s="16" t="n">
        <v>20940891</v>
      </c>
      <c r="H55" s="16" t="n">
        <v>12433565</v>
      </c>
      <c r="I55" s="14" t="s">
        <v>120</v>
      </c>
    </row>
    <row r="56" customFormat="false" ht="15" hidden="false" customHeight="false" outlineLevel="0" collapsed="false">
      <c r="A56" s="14" t="s">
        <v>13</v>
      </c>
      <c r="B56" s="15" t="n">
        <v>46133</v>
      </c>
      <c r="C56" s="14" t="s">
        <v>64</v>
      </c>
      <c r="D56" s="14"/>
      <c r="E56" s="14" t="n">
        <v>2</v>
      </c>
      <c r="F56" s="14" t="n">
        <v>5</v>
      </c>
      <c r="G56" s="16" t="n">
        <v>17781104</v>
      </c>
      <c r="H56" s="16" t="n">
        <v>10755261</v>
      </c>
      <c r="I56" s="14" t="s">
        <v>121</v>
      </c>
    </row>
    <row r="57" customFormat="false" ht="15" hidden="false" customHeight="false" outlineLevel="0" collapsed="false">
      <c r="A57" s="14" t="s">
        <v>13</v>
      </c>
      <c r="B57" s="15" t="n">
        <v>46133</v>
      </c>
      <c r="C57" s="14" t="s">
        <v>65</v>
      </c>
      <c r="D57" s="14"/>
      <c r="E57" s="14" t="n">
        <v>2</v>
      </c>
      <c r="F57" s="14" t="n">
        <v>6</v>
      </c>
      <c r="G57" s="16" t="n">
        <v>16524054</v>
      </c>
      <c r="H57" s="16" t="n">
        <v>9624138</v>
      </c>
      <c r="I57" s="14" t="s">
        <v>122</v>
      </c>
    </row>
    <row r="58" customFormat="false" ht="15" hidden="false" customHeight="false" outlineLevel="0" collapsed="false">
      <c r="A58" s="14" t="s">
        <v>13</v>
      </c>
      <c r="B58" s="15" t="n">
        <v>46133</v>
      </c>
      <c r="C58" s="14" t="s">
        <v>56</v>
      </c>
      <c r="D58" s="14"/>
      <c r="E58" s="14" t="n">
        <v>2</v>
      </c>
      <c r="F58" s="14" t="n">
        <v>7</v>
      </c>
      <c r="G58" s="16" t="n">
        <v>15873025</v>
      </c>
      <c r="H58" s="16" t="n">
        <v>7024297</v>
      </c>
      <c r="I58" s="14" t="s">
        <v>123</v>
      </c>
    </row>
    <row r="59" customFormat="false" ht="15" hidden="false" customHeight="false" outlineLevel="0" collapsed="false">
      <c r="A59" s="14" t="s">
        <v>13</v>
      </c>
      <c r="B59" s="15" t="n">
        <v>46133</v>
      </c>
      <c r="C59" s="14" t="s">
        <v>62</v>
      </c>
      <c r="D59" s="14"/>
      <c r="E59" s="14" t="n">
        <v>2</v>
      </c>
      <c r="F59" s="14" t="n">
        <v>8</v>
      </c>
      <c r="G59" s="16" t="n">
        <v>14887728</v>
      </c>
      <c r="H59" s="16" t="n">
        <v>8680397</v>
      </c>
      <c r="I59" s="14" t="s">
        <v>124</v>
      </c>
    </row>
    <row r="60" customFormat="false" ht="15" hidden="false" customHeight="false" outlineLevel="0" collapsed="false">
      <c r="A60" s="14" t="s">
        <v>13</v>
      </c>
      <c r="B60" s="15" t="n">
        <v>46133</v>
      </c>
      <c r="C60" s="14" t="s">
        <v>67</v>
      </c>
      <c r="D60" s="14"/>
      <c r="E60" s="14" t="n">
        <v>2</v>
      </c>
      <c r="F60" s="14" t="n">
        <v>9</v>
      </c>
      <c r="G60" s="16" t="n">
        <v>13479276</v>
      </c>
      <c r="H60" s="16" t="n">
        <v>5768320</v>
      </c>
      <c r="I60" s="14" t="s">
        <v>122</v>
      </c>
    </row>
    <row r="61" customFormat="false" ht="15" hidden="false" customHeight="false" outlineLevel="0" collapsed="false">
      <c r="A61" s="14" t="s">
        <v>13</v>
      </c>
      <c r="B61" s="15" t="n">
        <v>46133</v>
      </c>
      <c r="C61" s="14" t="s">
        <v>69</v>
      </c>
      <c r="D61" s="14"/>
      <c r="E61" s="14" t="n">
        <v>2</v>
      </c>
      <c r="F61" s="14" t="n">
        <v>10</v>
      </c>
      <c r="G61" s="16" t="n">
        <v>7883804</v>
      </c>
      <c r="H61" s="16" t="n">
        <v>4313331</v>
      </c>
      <c r="I61" s="14" t="s">
        <v>59</v>
      </c>
    </row>
    <row r="62" customFormat="false" ht="15" hidden="false" customHeight="false" outlineLevel="0" collapsed="false">
      <c r="A62" s="14" t="s">
        <v>14</v>
      </c>
      <c r="B62" s="15" t="n">
        <v>46133</v>
      </c>
      <c r="C62" s="14" t="s">
        <v>125</v>
      </c>
      <c r="D62" s="14" t="s">
        <v>81</v>
      </c>
      <c r="E62" s="14" t="n">
        <v>1</v>
      </c>
      <c r="F62" s="14" t="n">
        <v>1</v>
      </c>
      <c r="G62" s="16" t="n">
        <v>31769071</v>
      </c>
      <c r="H62" s="16" t="n">
        <v>13965286</v>
      </c>
      <c r="I62" s="14" t="s">
        <v>37</v>
      </c>
    </row>
    <row r="63" customFormat="false" ht="15" hidden="false" customHeight="false" outlineLevel="0" collapsed="false">
      <c r="A63" s="14" t="s">
        <v>14</v>
      </c>
      <c r="B63" s="15" t="n">
        <v>46133</v>
      </c>
      <c r="C63" s="14" t="s">
        <v>75</v>
      </c>
      <c r="D63" s="14" t="s">
        <v>81</v>
      </c>
      <c r="E63" s="14" t="n">
        <v>2</v>
      </c>
      <c r="F63" s="14" t="n">
        <v>2</v>
      </c>
      <c r="G63" s="16" t="n">
        <v>29535525</v>
      </c>
      <c r="H63" s="16" t="n">
        <v>12390847</v>
      </c>
      <c r="I63" s="14" t="s">
        <v>123</v>
      </c>
    </row>
    <row r="64" customFormat="false" ht="15" hidden="false" customHeight="false" outlineLevel="0" collapsed="false">
      <c r="A64" s="14" t="s">
        <v>14</v>
      </c>
      <c r="B64" s="15" t="n">
        <v>46133</v>
      </c>
      <c r="C64" s="14" t="s">
        <v>80</v>
      </c>
      <c r="D64" s="14" t="s">
        <v>71</v>
      </c>
      <c r="E64" s="14" t="n">
        <v>2</v>
      </c>
      <c r="F64" s="14" t="n">
        <v>3</v>
      </c>
      <c r="G64" s="16" t="n">
        <v>27971420</v>
      </c>
      <c r="H64" s="16" t="n">
        <v>12579441</v>
      </c>
      <c r="I64" s="14" t="s">
        <v>126</v>
      </c>
    </row>
    <row r="65" customFormat="false" ht="15" hidden="false" customHeight="false" outlineLevel="0" collapsed="false">
      <c r="A65" s="14" t="s">
        <v>14</v>
      </c>
      <c r="B65" s="15" t="n">
        <v>46133</v>
      </c>
      <c r="C65" s="14" t="s">
        <v>84</v>
      </c>
      <c r="D65" s="14" t="s">
        <v>76</v>
      </c>
      <c r="E65" s="14" t="n">
        <v>2</v>
      </c>
      <c r="F65" s="14" t="n">
        <v>4</v>
      </c>
      <c r="G65" s="16" t="n">
        <v>23589242</v>
      </c>
      <c r="H65" s="16" t="n">
        <v>10610504</v>
      </c>
      <c r="I65" s="14" t="s">
        <v>110</v>
      </c>
    </row>
    <row r="66" customFormat="false" ht="15" hidden="false" customHeight="false" outlineLevel="0" collapsed="false">
      <c r="A66" s="14" t="s">
        <v>14</v>
      </c>
      <c r="B66" s="15" t="n">
        <v>46133</v>
      </c>
      <c r="C66" s="14" t="s">
        <v>78</v>
      </c>
      <c r="D66" s="14" t="s">
        <v>71</v>
      </c>
      <c r="E66" s="14" t="n">
        <v>2</v>
      </c>
      <c r="F66" s="14" t="n">
        <v>5</v>
      </c>
      <c r="G66" s="16" t="n">
        <v>23450215</v>
      </c>
      <c r="H66" s="16" t="n">
        <v>11558352</v>
      </c>
      <c r="I66" s="14" t="s">
        <v>123</v>
      </c>
    </row>
    <row r="67" customFormat="false" ht="15" hidden="false" customHeight="false" outlineLevel="0" collapsed="false">
      <c r="A67" s="14" t="s">
        <v>14</v>
      </c>
      <c r="B67" s="15" t="n">
        <v>46133</v>
      </c>
      <c r="C67" s="14" t="s">
        <v>73</v>
      </c>
      <c r="D67" s="14" t="s">
        <v>71</v>
      </c>
      <c r="E67" s="14" t="n">
        <v>2</v>
      </c>
      <c r="F67" s="14" t="n">
        <v>6</v>
      </c>
      <c r="G67" s="16" t="n">
        <v>15267770</v>
      </c>
      <c r="H67" s="16" t="n">
        <v>6678645</v>
      </c>
      <c r="I67" s="14" t="s">
        <v>119</v>
      </c>
    </row>
    <row r="68" customFormat="false" ht="15" hidden="false" customHeight="false" outlineLevel="0" collapsed="false">
      <c r="A68" s="14" t="s">
        <v>14</v>
      </c>
      <c r="B68" s="15" t="n">
        <v>46133</v>
      </c>
      <c r="C68" s="14" t="s">
        <v>86</v>
      </c>
      <c r="D68" s="14" t="s">
        <v>71</v>
      </c>
      <c r="E68" s="14" t="n">
        <v>2</v>
      </c>
      <c r="F68" s="14" t="n">
        <v>7</v>
      </c>
      <c r="G68" s="16" t="n">
        <v>12249217</v>
      </c>
      <c r="H68" s="16" t="n">
        <v>6419684</v>
      </c>
      <c r="I68" s="14" t="s">
        <v>127</v>
      </c>
    </row>
    <row r="69" customFormat="false" ht="15" hidden="false" customHeight="false" outlineLevel="0" collapsed="false">
      <c r="A69" s="14" t="s">
        <v>14</v>
      </c>
      <c r="B69" s="15" t="n">
        <v>46133</v>
      </c>
      <c r="C69" s="14" t="s">
        <v>82</v>
      </c>
      <c r="D69" s="14" t="s">
        <v>76</v>
      </c>
      <c r="E69" s="14" t="n">
        <v>2</v>
      </c>
      <c r="F69" s="14" t="n">
        <v>8</v>
      </c>
      <c r="G69" s="16" t="n">
        <v>11415946</v>
      </c>
      <c r="H69" s="16" t="n">
        <v>6296123</v>
      </c>
      <c r="I69" s="14" t="s">
        <v>128</v>
      </c>
    </row>
    <row r="70" customFormat="false" ht="15" hidden="false" customHeight="false" outlineLevel="0" collapsed="false">
      <c r="A70" s="14" t="s">
        <v>14</v>
      </c>
      <c r="B70" s="15" t="n">
        <v>46133</v>
      </c>
      <c r="C70" s="14" t="s">
        <v>88</v>
      </c>
      <c r="D70" s="14" t="s">
        <v>71</v>
      </c>
      <c r="E70" s="14" t="n">
        <v>2</v>
      </c>
      <c r="F70" s="14" t="n">
        <v>9</v>
      </c>
      <c r="G70" s="16" t="n">
        <v>7887820</v>
      </c>
      <c r="H70" s="16" t="n">
        <v>3979121</v>
      </c>
      <c r="I70" s="14" t="s">
        <v>59</v>
      </c>
    </row>
    <row r="71" customFormat="false" ht="15" hidden="false" customHeight="false" outlineLevel="0" collapsed="false">
      <c r="A71" s="14" t="s">
        <v>14</v>
      </c>
      <c r="B71" s="15" t="n">
        <v>46133</v>
      </c>
      <c r="C71" s="14" t="s">
        <v>90</v>
      </c>
      <c r="D71" s="14" t="s">
        <v>71</v>
      </c>
      <c r="E71" s="14" t="n">
        <v>2</v>
      </c>
      <c r="F71" s="14" t="n">
        <v>10</v>
      </c>
      <c r="G71" s="16" t="n">
        <v>7083441</v>
      </c>
      <c r="H71" s="16" t="n">
        <v>3965968</v>
      </c>
      <c r="I71" s="14" t="s">
        <v>129</v>
      </c>
    </row>
    <row r="72" customFormat="false" ht="15" hidden="false" customHeight="false" outlineLevel="0" collapsed="false">
      <c r="A72" s="14" t="s">
        <v>15</v>
      </c>
      <c r="B72" s="15" t="n">
        <v>46133</v>
      </c>
      <c r="C72" s="14" t="s">
        <v>99</v>
      </c>
      <c r="D72" s="14" t="s">
        <v>81</v>
      </c>
      <c r="E72" s="14" t="n">
        <v>2</v>
      </c>
      <c r="F72" s="14" t="n">
        <v>1</v>
      </c>
      <c r="G72" s="16" t="n">
        <v>38897775</v>
      </c>
      <c r="H72" s="16" t="n">
        <v>22748216</v>
      </c>
      <c r="I72" s="14" t="s">
        <v>68</v>
      </c>
    </row>
    <row r="73" customFormat="false" ht="15" hidden="false" customHeight="false" outlineLevel="0" collapsed="false">
      <c r="A73" s="14" t="s">
        <v>15</v>
      </c>
      <c r="B73" s="15" t="n">
        <v>46133</v>
      </c>
      <c r="C73" s="14" t="s">
        <v>93</v>
      </c>
      <c r="D73" s="14" t="s">
        <v>71</v>
      </c>
      <c r="E73" s="14" t="n">
        <v>2</v>
      </c>
      <c r="F73" s="14" t="n">
        <v>2</v>
      </c>
      <c r="G73" s="16" t="n">
        <v>31298373</v>
      </c>
      <c r="H73" s="16" t="n">
        <v>13968077</v>
      </c>
      <c r="I73" s="14" t="s">
        <v>130</v>
      </c>
    </row>
    <row r="74" customFormat="false" ht="15" hidden="false" customHeight="false" outlineLevel="0" collapsed="false">
      <c r="A74" s="14" t="s">
        <v>15</v>
      </c>
      <c r="B74" s="15" t="n">
        <v>46133</v>
      </c>
      <c r="C74" s="14" t="s">
        <v>91</v>
      </c>
      <c r="D74" s="14" t="s">
        <v>81</v>
      </c>
      <c r="E74" s="14" t="n">
        <v>2</v>
      </c>
      <c r="F74" s="14" t="n">
        <v>3</v>
      </c>
      <c r="G74" s="16" t="n">
        <v>27621995</v>
      </c>
      <c r="H74" s="16" t="n">
        <v>12408249</v>
      </c>
      <c r="I74" s="14" t="s">
        <v>131</v>
      </c>
    </row>
    <row r="75" customFormat="false" ht="15" hidden="false" customHeight="false" outlineLevel="0" collapsed="false">
      <c r="A75" s="14" t="s">
        <v>15</v>
      </c>
      <c r="B75" s="15" t="n">
        <v>46133</v>
      </c>
      <c r="C75" s="14" t="s">
        <v>97</v>
      </c>
      <c r="D75" s="14" t="s">
        <v>76</v>
      </c>
      <c r="E75" s="14" t="n">
        <v>2</v>
      </c>
      <c r="F75" s="14" t="n">
        <v>4</v>
      </c>
      <c r="G75" s="16" t="n">
        <v>23363831</v>
      </c>
      <c r="H75" s="16" t="n">
        <v>9913279</v>
      </c>
      <c r="I75" s="14" t="s">
        <v>55</v>
      </c>
    </row>
    <row r="76" customFormat="false" ht="15" hidden="false" customHeight="false" outlineLevel="0" collapsed="false">
      <c r="A76" s="14" t="s">
        <v>15</v>
      </c>
      <c r="B76" s="15" t="n">
        <v>46133</v>
      </c>
      <c r="C76" s="14" t="s">
        <v>103</v>
      </c>
      <c r="D76" s="14" t="s">
        <v>76</v>
      </c>
      <c r="E76" s="14" t="n">
        <v>2</v>
      </c>
      <c r="F76" s="14" t="n">
        <v>5</v>
      </c>
      <c r="G76" s="16" t="n">
        <v>18953137</v>
      </c>
      <c r="H76" s="16" t="n">
        <v>9146998</v>
      </c>
      <c r="I76" s="14" t="s">
        <v>132</v>
      </c>
    </row>
    <row r="77" customFormat="false" ht="15" hidden="false" customHeight="false" outlineLevel="0" collapsed="false">
      <c r="A77" s="14" t="s">
        <v>15</v>
      </c>
      <c r="B77" s="15" t="n">
        <v>46133</v>
      </c>
      <c r="C77" s="14" t="s">
        <v>101</v>
      </c>
      <c r="D77" s="14" t="s">
        <v>76</v>
      </c>
      <c r="E77" s="14" t="n">
        <v>2</v>
      </c>
      <c r="F77" s="14" t="n">
        <v>6</v>
      </c>
      <c r="G77" s="16" t="n">
        <v>18544724</v>
      </c>
      <c r="H77" s="16" t="n">
        <v>8860640</v>
      </c>
      <c r="I77" s="14" t="s">
        <v>79</v>
      </c>
    </row>
    <row r="78" customFormat="false" ht="15" hidden="false" customHeight="false" outlineLevel="0" collapsed="false">
      <c r="A78" s="14" t="s">
        <v>15</v>
      </c>
      <c r="B78" s="15" t="n">
        <v>46133</v>
      </c>
      <c r="C78" s="14" t="s">
        <v>95</v>
      </c>
      <c r="D78" s="14" t="s">
        <v>71</v>
      </c>
      <c r="E78" s="14" t="n">
        <v>2</v>
      </c>
      <c r="F78" s="14" t="n">
        <v>7</v>
      </c>
      <c r="G78" s="16" t="n">
        <v>16672033</v>
      </c>
      <c r="H78" s="16" t="n">
        <v>8124928</v>
      </c>
      <c r="I78" s="14" t="s">
        <v>39</v>
      </c>
    </row>
    <row r="79" customFormat="false" ht="15" hidden="false" customHeight="false" outlineLevel="0" collapsed="false">
      <c r="A79" s="14" t="s">
        <v>15</v>
      </c>
      <c r="B79" s="15" t="n">
        <v>46133</v>
      </c>
      <c r="C79" s="14" t="s">
        <v>133</v>
      </c>
      <c r="D79" s="14" t="s">
        <v>71</v>
      </c>
      <c r="E79" s="14" t="n">
        <v>1</v>
      </c>
      <c r="F79" s="14" t="n">
        <v>8</v>
      </c>
      <c r="G79" s="16" t="n">
        <v>16417079</v>
      </c>
      <c r="H79" s="16" t="n">
        <v>8321764</v>
      </c>
      <c r="I79" s="14" t="s">
        <v>35</v>
      </c>
    </row>
    <row r="80" customFormat="false" ht="15" hidden="false" customHeight="false" outlineLevel="0" collapsed="false">
      <c r="A80" s="14" t="s">
        <v>15</v>
      </c>
      <c r="B80" s="15" t="n">
        <v>46133</v>
      </c>
      <c r="C80" s="14" t="s">
        <v>107</v>
      </c>
      <c r="D80" s="14" t="s">
        <v>81</v>
      </c>
      <c r="E80" s="14" t="n">
        <v>2</v>
      </c>
      <c r="F80" s="14" t="n">
        <v>9</v>
      </c>
      <c r="G80" s="16" t="n">
        <v>8989188</v>
      </c>
      <c r="H80" s="16" t="n">
        <v>4065411</v>
      </c>
      <c r="I80" s="14" t="s">
        <v>134</v>
      </c>
    </row>
    <row r="81" customFormat="false" ht="15" hidden="false" customHeight="false" outlineLevel="0" collapsed="false">
      <c r="A81" s="14" t="s">
        <v>15</v>
      </c>
      <c r="B81" s="15" t="n">
        <v>46133</v>
      </c>
      <c r="C81" s="14" t="s">
        <v>105</v>
      </c>
      <c r="D81" s="14" t="s">
        <v>71</v>
      </c>
      <c r="E81" s="14" t="n">
        <v>2</v>
      </c>
      <c r="F81" s="14" t="n">
        <v>10</v>
      </c>
      <c r="G81" s="16" t="n">
        <v>8714465</v>
      </c>
      <c r="H81" s="16" t="n">
        <v>4370951</v>
      </c>
      <c r="I81" s="14" t="s">
        <v>33</v>
      </c>
    </row>
    <row r="82" customFormat="false" ht="15" hidden="false" customHeight="false" outlineLevel="0" collapsed="false">
      <c r="A82" s="14" t="s">
        <v>12</v>
      </c>
      <c r="B82" s="15" t="n">
        <v>46140</v>
      </c>
      <c r="C82" s="14" t="s">
        <v>38</v>
      </c>
      <c r="D82" s="14"/>
      <c r="E82" s="14" t="n">
        <v>3</v>
      </c>
      <c r="F82" s="14" t="n">
        <v>1</v>
      </c>
      <c r="G82" s="16" t="n">
        <v>31394651</v>
      </c>
      <c r="H82" s="16" t="n">
        <v>14114769</v>
      </c>
      <c r="I82" s="14" t="s">
        <v>135</v>
      </c>
    </row>
    <row r="83" customFormat="false" ht="15" hidden="false" customHeight="false" outlineLevel="0" collapsed="false">
      <c r="A83" s="14" t="s">
        <v>12</v>
      </c>
      <c r="B83" s="15" t="n">
        <v>46140</v>
      </c>
      <c r="C83" s="14" t="s">
        <v>32</v>
      </c>
      <c r="D83" s="14"/>
      <c r="E83" s="14" t="n">
        <v>3</v>
      </c>
      <c r="F83" s="14" t="n">
        <v>2</v>
      </c>
      <c r="G83" s="16" t="n">
        <v>24843791</v>
      </c>
      <c r="H83" s="16" t="n">
        <v>13068199</v>
      </c>
      <c r="I83" s="14" t="s">
        <v>121</v>
      </c>
    </row>
    <row r="84" customFormat="false" ht="15" hidden="false" customHeight="false" outlineLevel="0" collapsed="false">
      <c r="A84" s="14" t="s">
        <v>12</v>
      </c>
      <c r="B84" s="15" t="n">
        <v>46140</v>
      </c>
      <c r="C84" s="14" t="s">
        <v>36</v>
      </c>
      <c r="D84" s="14"/>
      <c r="E84" s="14" t="n">
        <v>3</v>
      </c>
      <c r="F84" s="14" t="n">
        <v>3</v>
      </c>
      <c r="G84" s="16" t="n">
        <v>24305921</v>
      </c>
      <c r="H84" s="16" t="n">
        <v>10172798</v>
      </c>
      <c r="I84" s="14" t="s">
        <v>39</v>
      </c>
    </row>
    <row r="85" customFormat="false" ht="15" hidden="false" customHeight="false" outlineLevel="0" collapsed="false">
      <c r="A85" s="14" t="s">
        <v>12</v>
      </c>
      <c r="B85" s="15" t="n">
        <v>46140</v>
      </c>
      <c r="C85" s="14" t="s">
        <v>34</v>
      </c>
      <c r="D85" s="14"/>
      <c r="E85" s="14" t="n">
        <v>3</v>
      </c>
      <c r="F85" s="14" t="n">
        <v>4</v>
      </c>
      <c r="G85" s="16" t="n">
        <v>23922353</v>
      </c>
      <c r="H85" s="16" t="n">
        <v>10132486</v>
      </c>
      <c r="I85" s="14" t="s">
        <v>57</v>
      </c>
    </row>
    <row r="86" customFormat="false" ht="15" hidden="false" customHeight="false" outlineLevel="0" collapsed="false">
      <c r="A86" s="14" t="s">
        <v>12</v>
      </c>
      <c r="B86" s="15" t="n">
        <v>46140</v>
      </c>
      <c r="C86" s="14" t="s">
        <v>136</v>
      </c>
      <c r="D86" s="14"/>
      <c r="E86" s="14" t="n">
        <v>1</v>
      </c>
      <c r="F86" s="14" t="n">
        <v>5</v>
      </c>
      <c r="G86" s="16" t="n">
        <v>23604873</v>
      </c>
      <c r="H86" s="16" t="n">
        <v>13927963</v>
      </c>
      <c r="I86" s="14" t="s">
        <v>137</v>
      </c>
    </row>
    <row r="87" customFormat="false" ht="15" hidden="false" customHeight="false" outlineLevel="0" collapsed="false">
      <c r="A87" s="14" t="s">
        <v>12</v>
      </c>
      <c r="B87" s="15" t="n">
        <v>46140</v>
      </c>
      <c r="C87" s="14" t="s">
        <v>40</v>
      </c>
      <c r="D87" s="14"/>
      <c r="E87" s="14" t="n">
        <v>3</v>
      </c>
      <c r="F87" s="14" t="n">
        <v>6</v>
      </c>
      <c r="G87" s="16" t="n">
        <v>18496569</v>
      </c>
      <c r="H87" s="16" t="n">
        <v>8767562</v>
      </c>
      <c r="I87" s="14" t="s">
        <v>102</v>
      </c>
    </row>
    <row r="88" customFormat="false" ht="15" hidden="false" customHeight="false" outlineLevel="0" collapsed="false">
      <c r="A88" s="14" t="s">
        <v>12</v>
      </c>
      <c r="B88" s="15" t="n">
        <v>46140</v>
      </c>
      <c r="C88" s="14" t="s">
        <v>44</v>
      </c>
      <c r="D88" s="14"/>
      <c r="E88" s="14" t="n">
        <v>3</v>
      </c>
      <c r="F88" s="14" t="n">
        <v>7</v>
      </c>
      <c r="G88" s="16" t="n">
        <v>16161060</v>
      </c>
      <c r="H88" s="16" t="n">
        <v>9520297</v>
      </c>
      <c r="I88" s="14" t="s">
        <v>121</v>
      </c>
    </row>
    <row r="89" customFormat="false" ht="15" hidden="false" customHeight="false" outlineLevel="0" collapsed="false">
      <c r="A89" s="14" t="s">
        <v>12</v>
      </c>
      <c r="B89" s="15" t="n">
        <v>46140</v>
      </c>
      <c r="C89" s="14" t="s">
        <v>46</v>
      </c>
      <c r="D89" s="14"/>
      <c r="E89" s="14" t="n">
        <v>3</v>
      </c>
      <c r="F89" s="14" t="n">
        <v>8</v>
      </c>
      <c r="G89" s="16" t="n">
        <v>8770754</v>
      </c>
      <c r="H89" s="16" t="n">
        <v>4081552</v>
      </c>
      <c r="I89" s="14" t="s">
        <v>138</v>
      </c>
    </row>
    <row r="90" customFormat="false" ht="15" hidden="false" customHeight="false" outlineLevel="0" collapsed="false">
      <c r="A90" s="14" t="s">
        <v>12</v>
      </c>
      <c r="B90" s="15" t="n">
        <v>46140</v>
      </c>
      <c r="C90" s="14" t="s">
        <v>50</v>
      </c>
      <c r="D90" s="14"/>
      <c r="E90" s="14" t="n">
        <v>3</v>
      </c>
      <c r="F90" s="14" t="n">
        <v>9</v>
      </c>
      <c r="G90" s="16" t="n">
        <v>7918490</v>
      </c>
      <c r="H90" s="16" t="n">
        <v>4918799</v>
      </c>
      <c r="I90" s="14" t="s">
        <v>139</v>
      </c>
    </row>
    <row r="91" customFormat="false" ht="15" hidden="false" customHeight="false" outlineLevel="0" collapsed="false">
      <c r="A91" s="14" t="s">
        <v>12</v>
      </c>
      <c r="B91" s="15" t="n">
        <v>46140</v>
      </c>
      <c r="C91" s="14" t="s">
        <v>48</v>
      </c>
      <c r="D91" s="14"/>
      <c r="E91" s="14" t="n">
        <v>3</v>
      </c>
      <c r="F91" s="14" t="n">
        <v>10</v>
      </c>
      <c r="G91" s="16" t="n">
        <v>7154654</v>
      </c>
      <c r="H91" s="16" t="n">
        <v>3165328</v>
      </c>
      <c r="I91" s="14" t="s">
        <v>140</v>
      </c>
    </row>
    <row r="92" customFormat="false" ht="15" hidden="false" customHeight="false" outlineLevel="0" collapsed="false">
      <c r="A92" s="14" t="s">
        <v>13</v>
      </c>
      <c r="B92" s="15" t="n">
        <v>46140</v>
      </c>
      <c r="C92" s="14" t="s">
        <v>52</v>
      </c>
      <c r="D92" s="14"/>
      <c r="E92" s="14" t="n">
        <v>3</v>
      </c>
      <c r="F92" s="14" t="n">
        <v>1</v>
      </c>
      <c r="G92" s="16" t="n">
        <v>29407583</v>
      </c>
      <c r="H92" s="16" t="n">
        <v>18053311</v>
      </c>
      <c r="I92" s="14" t="s">
        <v>39</v>
      </c>
    </row>
    <row r="93" customFormat="false" ht="15" hidden="false" customHeight="false" outlineLevel="0" collapsed="false">
      <c r="A93" s="14" t="s">
        <v>13</v>
      </c>
      <c r="B93" s="15" t="n">
        <v>46140</v>
      </c>
      <c r="C93" s="14" t="s">
        <v>60</v>
      </c>
      <c r="D93" s="14"/>
      <c r="E93" s="14" t="n">
        <v>3</v>
      </c>
      <c r="F93" s="14" t="n">
        <v>2</v>
      </c>
      <c r="G93" s="16" t="n">
        <v>28607462</v>
      </c>
      <c r="H93" s="16" t="n">
        <v>17429478</v>
      </c>
      <c r="I93" s="14" t="s">
        <v>39</v>
      </c>
    </row>
    <row r="94" customFormat="false" ht="15" hidden="false" customHeight="false" outlineLevel="0" collapsed="false">
      <c r="A94" s="14" t="s">
        <v>13</v>
      </c>
      <c r="B94" s="15" t="n">
        <v>46140</v>
      </c>
      <c r="C94" s="14" t="s">
        <v>58</v>
      </c>
      <c r="D94" s="14"/>
      <c r="E94" s="14" t="n">
        <v>3</v>
      </c>
      <c r="F94" s="14" t="n">
        <v>3</v>
      </c>
      <c r="G94" s="16" t="n">
        <v>27152235</v>
      </c>
      <c r="H94" s="16" t="n">
        <v>13024277</v>
      </c>
      <c r="I94" s="14" t="s">
        <v>141</v>
      </c>
    </row>
    <row r="95" customFormat="false" ht="15" hidden="false" customHeight="false" outlineLevel="0" collapsed="false">
      <c r="A95" s="14" t="s">
        <v>13</v>
      </c>
      <c r="B95" s="15" t="n">
        <v>46140</v>
      </c>
      <c r="C95" s="14" t="s">
        <v>54</v>
      </c>
      <c r="D95" s="14"/>
      <c r="E95" s="14" t="n">
        <v>3</v>
      </c>
      <c r="F95" s="14" t="n">
        <v>4</v>
      </c>
      <c r="G95" s="16" t="n">
        <v>25484283</v>
      </c>
      <c r="H95" s="16" t="n">
        <v>14230333</v>
      </c>
      <c r="I95" s="14" t="s">
        <v>37</v>
      </c>
    </row>
    <row r="96" customFormat="false" ht="15" hidden="false" customHeight="false" outlineLevel="0" collapsed="false">
      <c r="A96" s="14" t="s">
        <v>13</v>
      </c>
      <c r="B96" s="15" t="n">
        <v>46140</v>
      </c>
      <c r="C96" s="14" t="s">
        <v>62</v>
      </c>
      <c r="D96" s="14"/>
      <c r="E96" s="14" t="n">
        <v>3</v>
      </c>
      <c r="F96" s="14" t="n">
        <v>5</v>
      </c>
      <c r="G96" s="16" t="n">
        <v>21189252</v>
      </c>
      <c r="H96" s="16" t="n">
        <v>9295459</v>
      </c>
      <c r="I96" s="14" t="s">
        <v>118</v>
      </c>
    </row>
    <row r="97" customFormat="false" ht="15" hidden="false" customHeight="false" outlineLevel="0" collapsed="false">
      <c r="A97" s="14" t="s">
        <v>13</v>
      </c>
      <c r="B97" s="15" t="n">
        <v>46140</v>
      </c>
      <c r="C97" s="14" t="s">
        <v>64</v>
      </c>
      <c r="D97" s="14"/>
      <c r="E97" s="14" t="n">
        <v>3</v>
      </c>
      <c r="F97" s="14" t="n">
        <v>6</v>
      </c>
      <c r="G97" s="16" t="n">
        <v>20823701</v>
      </c>
      <c r="H97" s="16" t="n">
        <v>9293096</v>
      </c>
      <c r="I97" s="14" t="s">
        <v>128</v>
      </c>
    </row>
    <row r="98" customFormat="false" ht="15" hidden="false" customHeight="false" outlineLevel="0" collapsed="false">
      <c r="A98" s="14" t="s">
        <v>13</v>
      </c>
      <c r="B98" s="15" t="n">
        <v>46140</v>
      </c>
      <c r="C98" s="14" t="s">
        <v>65</v>
      </c>
      <c r="D98" s="14"/>
      <c r="E98" s="14" t="n">
        <v>3</v>
      </c>
      <c r="F98" s="14" t="n">
        <v>7</v>
      </c>
      <c r="G98" s="16" t="n">
        <v>17404640</v>
      </c>
      <c r="H98" s="16" t="n">
        <v>7430778</v>
      </c>
      <c r="I98" s="14" t="s">
        <v>104</v>
      </c>
    </row>
    <row r="99" customFormat="false" ht="15" hidden="false" customHeight="false" outlineLevel="0" collapsed="false">
      <c r="A99" s="14" t="s">
        <v>13</v>
      </c>
      <c r="B99" s="15" t="n">
        <v>46140</v>
      </c>
      <c r="C99" s="14" t="s">
        <v>142</v>
      </c>
      <c r="D99" s="14"/>
      <c r="E99" s="14" t="n">
        <v>1</v>
      </c>
      <c r="F99" s="14" t="n">
        <v>8</v>
      </c>
      <c r="G99" s="16" t="n">
        <v>16732125</v>
      </c>
      <c r="H99" s="16" t="n">
        <v>7751749</v>
      </c>
      <c r="I99" s="14" t="s">
        <v>143</v>
      </c>
    </row>
    <row r="100" customFormat="false" ht="15" hidden="false" customHeight="false" outlineLevel="0" collapsed="false">
      <c r="A100" s="14" t="s">
        <v>13</v>
      </c>
      <c r="B100" s="15" t="n">
        <v>46140</v>
      </c>
      <c r="C100" s="14" t="s">
        <v>67</v>
      </c>
      <c r="D100" s="14"/>
      <c r="E100" s="14" t="n">
        <v>3</v>
      </c>
      <c r="F100" s="14" t="n">
        <v>9</v>
      </c>
      <c r="G100" s="16" t="n">
        <v>16320704</v>
      </c>
      <c r="H100" s="16" t="n">
        <v>7188520</v>
      </c>
      <c r="I100" s="14" t="s">
        <v>83</v>
      </c>
    </row>
    <row r="101" customFormat="false" ht="15" hidden="false" customHeight="false" outlineLevel="0" collapsed="false">
      <c r="A101" s="14" t="s">
        <v>13</v>
      </c>
      <c r="B101" s="15" t="n">
        <v>46140</v>
      </c>
      <c r="C101" s="14" t="s">
        <v>144</v>
      </c>
      <c r="D101" s="14"/>
      <c r="E101" s="14" t="n">
        <v>1</v>
      </c>
      <c r="F101" s="14" t="n">
        <v>10</v>
      </c>
      <c r="G101" s="16" t="n">
        <v>10045566</v>
      </c>
      <c r="H101" s="16" t="n">
        <v>5703088</v>
      </c>
      <c r="I101" s="14" t="s">
        <v>145</v>
      </c>
    </row>
    <row r="102" customFormat="false" ht="15" hidden="false" customHeight="false" outlineLevel="0" collapsed="false">
      <c r="A102" s="14" t="s">
        <v>14</v>
      </c>
      <c r="B102" s="15" t="n">
        <v>46140</v>
      </c>
      <c r="C102" s="14" t="s">
        <v>80</v>
      </c>
      <c r="D102" s="14" t="s">
        <v>81</v>
      </c>
      <c r="E102" s="14" t="n">
        <v>3</v>
      </c>
      <c r="F102" s="14" t="n">
        <v>1</v>
      </c>
      <c r="G102" s="16" t="n">
        <v>27269406</v>
      </c>
      <c r="H102" s="16" t="n">
        <v>15890297</v>
      </c>
      <c r="I102" s="14" t="s">
        <v>118</v>
      </c>
    </row>
    <row r="103" customFormat="false" ht="15" hidden="false" customHeight="false" outlineLevel="0" collapsed="false">
      <c r="A103" s="14" t="s">
        <v>14</v>
      </c>
      <c r="B103" s="15" t="n">
        <v>46140</v>
      </c>
      <c r="C103" s="14" t="s">
        <v>125</v>
      </c>
      <c r="D103" s="14" t="s">
        <v>71</v>
      </c>
      <c r="E103" s="14" t="n">
        <v>2</v>
      </c>
      <c r="F103" s="14" t="n">
        <v>2</v>
      </c>
      <c r="G103" s="16" t="n">
        <v>23914274</v>
      </c>
      <c r="H103" s="16" t="n">
        <v>12989305</v>
      </c>
      <c r="I103" s="14" t="s">
        <v>87</v>
      </c>
    </row>
    <row r="104" customFormat="false" ht="15" hidden="false" customHeight="false" outlineLevel="0" collapsed="false">
      <c r="A104" s="14" t="s">
        <v>14</v>
      </c>
      <c r="B104" s="15" t="n">
        <v>46140</v>
      </c>
      <c r="C104" s="14" t="s">
        <v>75</v>
      </c>
      <c r="D104" s="14" t="s">
        <v>71</v>
      </c>
      <c r="E104" s="14" t="n">
        <v>3</v>
      </c>
      <c r="F104" s="14" t="n">
        <v>3</v>
      </c>
      <c r="G104" s="16" t="n">
        <v>20946571</v>
      </c>
      <c r="H104" s="16" t="n">
        <v>9698291</v>
      </c>
      <c r="I104" s="14" t="s">
        <v>146</v>
      </c>
    </row>
    <row r="105" customFormat="false" ht="15" hidden="false" customHeight="false" outlineLevel="0" collapsed="false">
      <c r="A105" s="14" t="s">
        <v>14</v>
      </c>
      <c r="B105" s="15" t="n">
        <v>46140</v>
      </c>
      <c r="C105" s="14" t="s">
        <v>73</v>
      </c>
      <c r="D105" s="14" t="s">
        <v>76</v>
      </c>
      <c r="E105" s="14" t="n">
        <v>3</v>
      </c>
      <c r="F105" s="14" t="n">
        <v>4</v>
      </c>
      <c r="G105" s="16" t="n">
        <v>20560638</v>
      </c>
      <c r="H105" s="16" t="n">
        <v>8740000</v>
      </c>
      <c r="I105" s="14" t="s">
        <v>59</v>
      </c>
    </row>
    <row r="106" customFormat="false" ht="15" hidden="false" customHeight="false" outlineLevel="0" collapsed="false">
      <c r="A106" s="14" t="s">
        <v>14</v>
      </c>
      <c r="B106" s="15" t="n">
        <v>46140</v>
      </c>
      <c r="C106" s="14" t="s">
        <v>78</v>
      </c>
      <c r="D106" s="14" t="s">
        <v>71</v>
      </c>
      <c r="E106" s="14" t="n">
        <v>3</v>
      </c>
      <c r="F106" s="14" t="n">
        <v>5</v>
      </c>
      <c r="G106" s="16" t="n">
        <v>17454300</v>
      </c>
      <c r="H106" s="16" t="n">
        <v>8698088</v>
      </c>
      <c r="I106" s="14" t="s">
        <v>127</v>
      </c>
    </row>
    <row r="107" customFormat="false" ht="15" hidden="false" customHeight="false" outlineLevel="0" collapsed="false">
      <c r="A107" s="14" t="s">
        <v>14</v>
      </c>
      <c r="B107" s="15" t="n">
        <v>46140</v>
      </c>
      <c r="C107" s="14" t="s">
        <v>84</v>
      </c>
      <c r="D107" s="14" t="s">
        <v>76</v>
      </c>
      <c r="E107" s="14" t="n">
        <v>3</v>
      </c>
      <c r="F107" s="14" t="n">
        <v>6</v>
      </c>
      <c r="G107" s="16" t="n">
        <v>12642921</v>
      </c>
      <c r="H107" s="16" t="n">
        <v>6387458</v>
      </c>
      <c r="I107" s="14" t="s">
        <v>147</v>
      </c>
    </row>
    <row r="108" customFormat="false" ht="15" hidden="false" customHeight="false" outlineLevel="0" collapsed="false">
      <c r="A108" s="14" t="s">
        <v>14</v>
      </c>
      <c r="B108" s="15" t="n">
        <v>46140</v>
      </c>
      <c r="C108" s="14" t="s">
        <v>82</v>
      </c>
      <c r="D108" s="14" t="s">
        <v>76</v>
      </c>
      <c r="E108" s="14" t="n">
        <v>3</v>
      </c>
      <c r="F108" s="14" t="n">
        <v>7</v>
      </c>
      <c r="G108" s="16" t="n">
        <v>11157371</v>
      </c>
      <c r="H108" s="16" t="n">
        <v>6535189</v>
      </c>
      <c r="I108" s="14" t="s">
        <v>148</v>
      </c>
    </row>
    <row r="109" customFormat="false" ht="15" hidden="false" customHeight="false" outlineLevel="0" collapsed="false">
      <c r="A109" s="14" t="s">
        <v>14</v>
      </c>
      <c r="B109" s="15" t="n">
        <v>46140</v>
      </c>
      <c r="C109" s="14" t="s">
        <v>86</v>
      </c>
      <c r="D109" s="14" t="s">
        <v>71</v>
      </c>
      <c r="E109" s="14" t="n">
        <v>3</v>
      </c>
      <c r="F109" s="14" t="n">
        <v>8</v>
      </c>
      <c r="G109" s="16" t="n">
        <v>10206416</v>
      </c>
      <c r="H109" s="16" t="n">
        <v>5535642</v>
      </c>
      <c r="I109" s="14" t="s">
        <v>135</v>
      </c>
    </row>
    <row r="110" customFormat="false" ht="15" hidden="false" customHeight="false" outlineLevel="0" collapsed="false">
      <c r="A110" s="14" t="s">
        <v>14</v>
      </c>
      <c r="B110" s="15" t="n">
        <v>46140</v>
      </c>
      <c r="C110" s="14" t="s">
        <v>90</v>
      </c>
      <c r="D110" s="14" t="s">
        <v>71</v>
      </c>
      <c r="E110" s="14" t="n">
        <v>3</v>
      </c>
      <c r="F110" s="14" t="n">
        <v>9</v>
      </c>
      <c r="G110" s="16" t="n">
        <v>9583308</v>
      </c>
      <c r="H110" s="16" t="n">
        <v>4587970</v>
      </c>
      <c r="I110" s="14" t="s">
        <v>130</v>
      </c>
    </row>
    <row r="111" customFormat="false" ht="15" hidden="false" customHeight="false" outlineLevel="0" collapsed="false">
      <c r="A111" s="14" t="s">
        <v>14</v>
      </c>
      <c r="B111" s="15" t="n">
        <v>46140</v>
      </c>
      <c r="C111" s="14" t="s">
        <v>88</v>
      </c>
      <c r="D111" s="14" t="s">
        <v>71</v>
      </c>
      <c r="E111" s="14" t="n">
        <v>3</v>
      </c>
      <c r="F111" s="14" t="n">
        <v>10</v>
      </c>
      <c r="G111" s="16" t="n">
        <v>6644608</v>
      </c>
      <c r="H111" s="16" t="n">
        <v>3443785</v>
      </c>
      <c r="I111" s="14" t="s">
        <v>100</v>
      </c>
    </row>
    <row r="112" customFormat="false" ht="15" hidden="false" customHeight="false" outlineLevel="0" collapsed="false">
      <c r="A112" s="14" t="s">
        <v>15</v>
      </c>
      <c r="B112" s="15" t="n">
        <v>46140</v>
      </c>
      <c r="C112" s="14" t="s">
        <v>101</v>
      </c>
      <c r="D112" s="14" t="s">
        <v>76</v>
      </c>
      <c r="E112" s="14" t="n">
        <v>3</v>
      </c>
      <c r="F112" s="14" t="n">
        <v>1</v>
      </c>
      <c r="G112" s="16" t="n">
        <v>37956271</v>
      </c>
      <c r="H112" s="16" t="n">
        <v>16945548</v>
      </c>
      <c r="I112" s="14" t="s">
        <v>118</v>
      </c>
    </row>
    <row r="113" customFormat="false" ht="15" hidden="false" customHeight="false" outlineLevel="0" collapsed="false">
      <c r="A113" s="14" t="s">
        <v>15</v>
      </c>
      <c r="B113" s="15" t="n">
        <v>46140</v>
      </c>
      <c r="C113" s="14" t="s">
        <v>99</v>
      </c>
      <c r="D113" s="14" t="s">
        <v>71</v>
      </c>
      <c r="E113" s="14" t="n">
        <v>3</v>
      </c>
      <c r="F113" s="14" t="n">
        <v>2</v>
      </c>
      <c r="G113" s="16" t="n">
        <v>28997310</v>
      </c>
      <c r="H113" s="16" t="n">
        <v>12774674</v>
      </c>
      <c r="I113" s="14" t="s">
        <v>149</v>
      </c>
    </row>
    <row r="114" customFormat="false" ht="15" hidden="false" customHeight="false" outlineLevel="0" collapsed="false">
      <c r="A114" s="14" t="s">
        <v>15</v>
      </c>
      <c r="B114" s="15" t="n">
        <v>46140</v>
      </c>
      <c r="C114" s="14" t="s">
        <v>91</v>
      </c>
      <c r="D114" s="14" t="s">
        <v>76</v>
      </c>
      <c r="E114" s="14" t="n">
        <v>3</v>
      </c>
      <c r="F114" s="14" t="n">
        <v>3</v>
      </c>
      <c r="G114" s="16" t="n">
        <v>28697701</v>
      </c>
      <c r="H114" s="16" t="n">
        <v>16953948</v>
      </c>
      <c r="I114" s="14" t="s">
        <v>128</v>
      </c>
    </row>
    <row r="115" customFormat="false" ht="15" hidden="false" customHeight="false" outlineLevel="0" collapsed="false">
      <c r="A115" s="14" t="s">
        <v>15</v>
      </c>
      <c r="B115" s="15" t="n">
        <v>46140</v>
      </c>
      <c r="C115" s="14" t="s">
        <v>93</v>
      </c>
      <c r="D115" s="14" t="s">
        <v>76</v>
      </c>
      <c r="E115" s="14" t="n">
        <v>3</v>
      </c>
      <c r="F115" s="14" t="n">
        <v>4</v>
      </c>
      <c r="G115" s="16" t="n">
        <v>26593385</v>
      </c>
      <c r="H115" s="16" t="n">
        <v>11696625</v>
      </c>
      <c r="I115" s="14" t="s">
        <v>120</v>
      </c>
    </row>
    <row r="116" customFormat="false" ht="15" hidden="false" customHeight="false" outlineLevel="0" collapsed="false">
      <c r="A116" s="14" t="s">
        <v>15</v>
      </c>
      <c r="B116" s="15" t="n">
        <v>46140</v>
      </c>
      <c r="C116" s="14" t="s">
        <v>95</v>
      </c>
      <c r="D116" s="14" t="s">
        <v>71</v>
      </c>
      <c r="E116" s="14" t="n">
        <v>3</v>
      </c>
      <c r="F116" s="14" t="n">
        <v>5</v>
      </c>
      <c r="G116" s="16" t="n">
        <v>25211932</v>
      </c>
      <c r="H116" s="16" t="n">
        <v>13818625</v>
      </c>
      <c r="I116" s="14" t="s">
        <v>47</v>
      </c>
    </row>
    <row r="117" customFormat="false" ht="15" hidden="false" customHeight="false" outlineLevel="0" collapsed="false">
      <c r="A117" s="14" t="s">
        <v>15</v>
      </c>
      <c r="B117" s="15" t="n">
        <v>46140</v>
      </c>
      <c r="C117" s="14" t="s">
        <v>97</v>
      </c>
      <c r="D117" s="14" t="s">
        <v>76</v>
      </c>
      <c r="E117" s="14" t="n">
        <v>3</v>
      </c>
      <c r="F117" s="14" t="n">
        <v>6</v>
      </c>
      <c r="G117" s="16" t="n">
        <v>25165603</v>
      </c>
      <c r="H117" s="16" t="n">
        <v>14476338</v>
      </c>
      <c r="I117" s="14" t="s">
        <v>150</v>
      </c>
    </row>
    <row r="118" customFormat="false" ht="15" hidden="false" customHeight="false" outlineLevel="0" collapsed="false">
      <c r="A118" s="14" t="s">
        <v>15</v>
      </c>
      <c r="B118" s="15" t="n">
        <v>46140</v>
      </c>
      <c r="C118" s="14" t="s">
        <v>103</v>
      </c>
      <c r="D118" s="14" t="s">
        <v>76</v>
      </c>
      <c r="E118" s="14" t="n">
        <v>3</v>
      </c>
      <c r="F118" s="14" t="n">
        <v>7</v>
      </c>
      <c r="G118" s="16" t="n">
        <v>18441948</v>
      </c>
      <c r="H118" s="16" t="n">
        <v>8405037</v>
      </c>
      <c r="I118" s="14" t="s">
        <v>96</v>
      </c>
    </row>
    <row r="119" customFormat="false" ht="15" hidden="false" customHeight="false" outlineLevel="0" collapsed="false">
      <c r="A119" s="14" t="s">
        <v>15</v>
      </c>
      <c r="B119" s="15" t="n">
        <v>46140</v>
      </c>
      <c r="C119" s="14" t="s">
        <v>133</v>
      </c>
      <c r="D119" s="14" t="s">
        <v>81</v>
      </c>
      <c r="E119" s="14" t="n">
        <v>2</v>
      </c>
      <c r="F119" s="14" t="n">
        <v>8</v>
      </c>
      <c r="G119" s="16" t="n">
        <v>11526391</v>
      </c>
      <c r="H119" s="16" t="n">
        <v>5096252</v>
      </c>
      <c r="I119" s="14" t="s">
        <v>43</v>
      </c>
    </row>
    <row r="120" customFormat="false" ht="15" hidden="false" customHeight="false" outlineLevel="0" collapsed="false">
      <c r="A120" s="14" t="s">
        <v>15</v>
      </c>
      <c r="B120" s="15" t="n">
        <v>46140</v>
      </c>
      <c r="C120" s="14" t="s">
        <v>105</v>
      </c>
      <c r="D120" s="14" t="s">
        <v>76</v>
      </c>
      <c r="E120" s="14" t="n">
        <v>3</v>
      </c>
      <c r="F120" s="14" t="n">
        <v>9</v>
      </c>
      <c r="G120" s="16" t="n">
        <v>9976867</v>
      </c>
      <c r="H120" s="16" t="n">
        <v>5257044</v>
      </c>
      <c r="I120" s="14" t="s">
        <v>43</v>
      </c>
    </row>
    <row r="121" customFormat="false" ht="15" hidden="false" customHeight="false" outlineLevel="0" collapsed="false">
      <c r="A121" s="14" t="s">
        <v>15</v>
      </c>
      <c r="B121" s="15" t="n">
        <v>46140</v>
      </c>
      <c r="C121" s="14" t="s">
        <v>107</v>
      </c>
      <c r="D121" s="14" t="s">
        <v>76</v>
      </c>
      <c r="E121" s="14" t="n">
        <v>3</v>
      </c>
      <c r="F121" s="14" t="n">
        <v>10</v>
      </c>
      <c r="G121" s="16" t="n">
        <v>7755775</v>
      </c>
      <c r="H121" s="16" t="n">
        <v>3727533</v>
      </c>
      <c r="I121" s="14" t="s">
        <v>51</v>
      </c>
    </row>
    <row r="122" customFormat="false" ht="15" hidden="false" customHeight="false" outlineLevel="0" collapsed="false">
      <c r="A122" s="14" t="s">
        <v>12</v>
      </c>
      <c r="B122" s="15" t="n">
        <v>46147</v>
      </c>
      <c r="C122" s="14" t="s">
        <v>38</v>
      </c>
      <c r="D122" s="14"/>
      <c r="E122" s="14" t="n">
        <v>4</v>
      </c>
      <c r="F122" s="14" t="n">
        <v>1</v>
      </c>
      <c r="G122" s="16" t="n">
        <v>33574771</v>
      </c>
      <c r="H122" s="16" t="n">
        <v>16995912</v>
      </c>
      <c r="I122" s="14" t="s">
        <v>134</v>
      </c>
    </row>
    <row r="123" customFormat="false" ht="15" hidden="false" customHeight="false" outlineLevel="0" collapsed="false">
      <c r="A123" s="14" t="s">
        <v>12</v>
      </c>
      <c r="B123" s="15" t="n">
        <v>46147</v>
      </c>
      <c r="C123" s="14" t="s">
        <v>34</v>
      </c>
      <c r="D123" s="14"/>
      <c r="E123" s="14" t="n">
        <v>4</v>
      </c>
      <c r="F123" s="14" t="n">
        <v>2</v>
      </c>
      <c r="G123" s="16" t="n">
        <v>25156571</v>
      </c>
      <c r="H123" s="16" t="n">
        <v>14418510</v>
      </c>
      <c r="I123" s="14" t="s">
        <v>100</v>
      </c>
    </row>
    <row r="124" customFormat="false" ht="15" hidden="false" customHeight="false" outlineLevel="0" collapsed="false">
      <c r="A124" s="14" t="s">
        <v>12</v>
      </c>
      <c r="B124" s="15" t="n">
        <v>46147</v>
      </c>
      <c r="C124" s="14" t="s">
        <v>32</v>
      </c>
      <c r="D124" s="14"/>
      <c r="E124" s="14" t="n">
        <v>4</v>
      </c>
      <c r="F124" s="14" t="n">
        <v>3</v>
      </c>
      <c r="G124" s="16" t="n">
        <v>24278296</v>
      </c>
      <c r="H124" s="16" t="n">
        <v>10439211</v>
      </c>
      <c r="I124" s="14" t="s">
        <v>151</v>
      </c>
    </row>
    <row r="125" customFormat="false" ht="15" hidden="false" customHeight="false" outlineLevel="0" collapsed="false">
      <c r="A125" s="14" t="s">
        <v>12</v>
      </c>
      <c r="B125" s="15" t="n">
        <v>46147</v>
      </c>
      <c r="C125" s="14" t="s">
        <v>44</v>
      </c>
      <c r="D125" s="14"/>
      <c r="E125" s="14" t="n">
        <v>4</v>
      </c>
      <c r="F125" s="14" t="n">
        <v>4</v>
      </c>
      <c r="G125" s="16" t="n">
        <v>21380724</v>
      </c>
      <c r="H125" s="16" t="n">
        <v>11969401</v>
      </c>
      <c r="I125" s="14" t="s">
        <v>145</v>
      </c>
    </row>
    <row r="126" customFormat="false" ht="15" hidden="false" customHeight="false" outlineLevel="0" collapsed="false">
      <c r="A126" s="14" t="s">
        <v>12</v>
      </c>
      <c r="B126" s="15" t="n">
        <v>46147</v>
      </c>
      <c r="C126" s="14" t="s">
        <v>40</v>
      </c>
      <c r="D126" s="14"/>
      <c r="E126" s="14" t="n">
        <v>4</v>
      </c>
      <c r="F126" s="14" t="n">
        <v>5</v>
      </c>
      <c r="G126" s="16" t="n">
        <v>19980397</v>
      </c>
      <c r="H126" s="16" t="n">
        <v>10896531</v>
      </c>
      <c r="I126" s="14" t="s">
        <v>152</v>
      </c>
    </row>
    <row r="127" customFormat="false" ht="15" hidden="false" customHeight="false" outlineLevel="0" collapsed="false">
      <c r="A127" s="14" t="s">
        <v>12</v>
      </c>
      <c r="B127" s="15" t="n">
        <v>46147</v>
      </c>
      <c r="C127" s="14" t="s">
        <v>136</v>
      </c>
      <c r="D127" s="14"/>
      <c r="E127" s="14" t="n">
        <v>2</v>
      </c>
      <c r="F127" s="14" t="n">
        <v>6</v>
      </c>
      <c r="G127" s="16" t="n">
        <v>19501694</v>
      </c>
      <c r="H127" s="16" t="n">
        <v>9424950</v>
      </c>
      <c r="I127" s="14" t="s">
        <v>113</v>
      </c>
    </row>
    <row r="128" customFormat="false" ht="15" hidden="false" customHeight="false" outlineLevel="0" collapsed="false">
      <c r="A128" s="14" t="s">
        <v>12</v>
      </c>
      <c r="B128" s="15" t="n">
        <v>46147</v>
      </c>
      <c r="C128" s="14" t="s">
        <v>42</v>
      </c>
      <c r="D128" s="14"/>
      <c r="E128" s="14" t="n">
        <v>1</v>
      </c>
      <c r="F128" s="14" t="n">
        <v>7</v>
      </c>
      <c r="G128" s="16" t="n">
        <v>15827780</v>
      </c>
      <c r="H128" s="16" t="n">
        <v>7935188</v>
      </c>
      <c r="I128" s="14" t="s">
        <v>153</v>
      </c>
    </row>
    <row r="129" customFormat="false" ht="15" hidden="false" customHeight="false" outlineLevel="0" collapsed="false">
      <c r="A129" s="14" t="s">
        <v>12</v>
      </c>
      <c r="B129" s="15" t="n">
        <v>46147</v>
      </c>
      <c r="C129" s="14" t="s">
        <v>46</v>
      </c>
      <c r="D129" s="14"/>
      <c r="E129" s="14" t="n">
        <v>4</v>
      </c>
      <c r="F129" s="14" t="n">
        <v>8</v>
      </c>
      <c r="G129" s="16" t="n">
        <v>13440512</v>
      </c>
      <c r="H129" s="16" t="n">
        <v>7488025</v>
      </c>
      <c r="I129" s="14" t="s">
        <v>55</v>
      </c>
    </row>
    <row r="130" customFormat="false" ht="15" hidden="false" customHeight="false" outlineLevel="0" collapsed="false">
      <c r="A130" s="14" t="s">
        <v>12</v>
      </c>
      <c r="B130" s="15" t="n">
        <v>46147</v>
      </c>
      <c r="C130" s="14" t="s">
        <v>50</v>
      </c>
      <c r="D130" s="14"/>
      <c r="E130" s="14" t="n">
        <v>4</v>
      </c>
      <c r="F130" s="14" t="n">
        <v>9</v>
      </c>
      <c r="G130" s="16" t="n">
        <v>10199412</v>
      </c>
      <c r="H130" s="16" t="n">
        <v>4483512</v>
      </c>
      <c r="I130" s="14" t="s">
        <v>154</v>
      </c>
    </row>
    <row r="131" customFormat="false" ht="15" hidden="false" customHeight="false" outlineLevel="0" collapsed="false">
      <c r="A131" s="14" t="s">
        <v>12</v>
      </c>
      <c r="B131" s="15" t="n">
        <v>46147</v>
      </c>
      <c r="C131" s="14" t="s">
        <v>48</v>
      </c>
      <c r="D131" s="14"/>
      <c r="E131" s="14" t="n">
        <v>4</v>
      </c>
      <c r="F131" s="14" t="n">
        <v>10</v>
      </c>
      <c r="G131" s="16" t="n">
        <v>6940389</v>
      </c>
      <c r="H131" s="16" t="n">
        <v>3274819</v>
      </c>
      <c r="I131" s="14" t="s">
        <v>94</v>
      </c>
    </row>
    <row r="132" customFormat="false" ht="15" hidden="false" customHeight="false" outlineLevel="0" collapsed="false">
      <c r="A132" s="14" t="s">
        <v>13</v>
      </c>
      <c r="B132" s="15" t="n">
        <v>46147</v>
      </c>
      <c r="C132" s="14" t="s">
        <v>60</v>
      </c>
      <c r="D132" s="14"/>
      <c r="E132" s="14" t="n">
        <v>4</v>
      </c>
      <c r="F132" s="14" t="n">
        <v>1</v>
      </c>
      <c r="G132" s="16" t="n">
        <v>30391766</v>
      </c>
      <c r="H132" s="16" t="n">
        <v>15517357</v>
      </c>
      <c r="I132" s="14" t="s">
        <v>87</v>
      </c>
    </row>
    <row r="133" customFormat="false" ht="15" hidden="false" customHeight="false" outlineLevel="0" collapsed="false">
      <c r="A133" s="14" t="s">
        <v>13</v>
      </c>
      <c r="B133" s="15" t="n">
        <v>46147</v>
      </c>
      <c r="C133" s="14" t="s">
        <v>54</v>
      </c>
      <c r="D133" s="14"/>
      <c r="E133" s="14" t="n">
        <v>4</v>
      </c>
      <c r="F133" s="14" t="n">
        <v>2</v>
      </c>
      <c r="G133" s="16" t="n">
        <v>28175004</v>
      </c>
      <c r="H133" s="16" t="n">
        <v>13553613</v>
      </c>
      <c r="I133" s="14" t="s">
        <v>124</v>
      </c>
    </row>
    <row r="134" customFormat="false" ht="15" hidden="false" customHeight="false" outlineLevel="0" collapsed="false">
      <c r="A134" s="14" t="s">
        <v>13</v>
      </c>
      <c r="B134" s="15" t="n">
        <v>46147</v>
      </c>
      <c r="C134" s="14" t="s">
        <v>52</v>
      </c>
      <c r="D134" s="14"/>
      <c r="E134" s="14" t="n">
        <v>4</v>
      </c>
      <c r="F134" s="14" t="n">
        <v>3</v>
      </c>
      <c r="G134" s="16" t="n">
        <v>27430766</v>
      </c>
      <c r="H134" s="16" t="n">
        <v>17081756</v>
      </c>
      <c r="I134" s="14" t="s">
        <v>108</v>
      </c>
    </row>
    <row r="135" customFormat="false" ht="15" hidden="false" customHeight="false" outlineLevel="0" collapsed="false">
      <c r="A135" s="14" t="s">
        <v>13</v>
      </c>
      <c r="B135" s="15" t="n">
        <v>46147</v>
      </c>
      <c r="C135" s="14" t="s">
        <v>58</v>
      </c>
      <c r="D135" s="14"/>
      <c r="E135" s="14" t="n">
        <v>4</v>
      </c>
      <c r="F135" s="14" t="n">
        <v>4</v>
      </c>
      <c r="G135" s="16" t="n">
        <v>23357067</v>
      </c>
      <c r="H135" s="16" t="n">
        <v>10801321</v>
      </c>
      <c r="I135" s="14" t="s">
        <v>116</v>
      </c>
    </row>
    <row r="136" customFormat="false" ht="15" hidden="false" customHeight="false" outlineLevel="0" collapsed="false">
      <c r="A136" s="14" t="s">
        <v>13</v>
      </c>
      <c r="B136" s="15" t="n">
        <v>46147</v>
      </c>
      <c r="C136" s="14" t="s">
        <v>64</v>
      </c>
      <c r="D136" s="14"/>
      <c r="E136" s="14" t="n">
        <v>4</v>
      </c>
      <c r="F136" s="14" t="n">
        <v>5</v>
      </c>
      <c r="G136" s="16" t="n">
        <v>19419654</v>
      </c>
      <c r="H136" s="16" t="n">
        <v>9216662</v>
      </c>
      <c r="I136" s="14" t="s">
        <v>57</v>
      </c>
    </row>
    <row r="137" customFormat="false" ht="15" hidden="false" customHeight="false" outlineLevel="0" collapsed="false">
      <c r="A137" s="14" t="s">
        <v>13</v>
      </c>
      <c r="B137" s="15" t="n">
        <v>46147</v>
      </c>
      <c r="C137" s="14" t="s">
        <v>65</v>
      </c>
      <c r="D137" s="14"/>
      <c r="E137" s="14" t="n">
        <v>4</v>
      </c>
      <c r="F137" s="14" t="n">
        <v>6</v>
      </c>
      <c r="G137" s="16" t="n">
        <v>16964000</v>
      </c>
      <c r="H137" s="16" t="n">
        <v>8092406</v>
      </c>
      <c r="I137" s="14" t="s">
        <v>155</v>
      </c>
    </row>
    <row r="138" customFormat="false" ht="15" hidden="false" customHeight="false" outlineLevel="0" collapsed="false">
      <c r="A138" s="14" t="s">
        <v>13</v>
      </c>
      <c r="B138" s="15" t="n">
        <v>46147</v>
      </c>
      <c r="C138" s="14" t="s">
        <v>142</v>
      </c>
      <c r="D138" s="14"/>
      <c r="E138" s="14" t="n">
        <v>2</v>
      </c>
      <c r="F138" s="14" t="n">
        <v>7</v>
      </c>
      <c r="G138" s="16" t="n">
        <v>13974464</v>
      </c>
      <c r="H138" s="16" t="n">
        <v>7050671</v>
      </c>
      <c r="I138" s="14" t="s">
        <v>155</v>
      </c>
    </row>
    <row r="139" customFormat="false" ht="15" hidden="false" customHeight="false" outlineLevel="0" collapsed="false">
      <c r="A139" s="14" t="s">
        <v>13</v>
      </c>
      <c r="B139" s="15" t="n">
        <v>46147</v>
      </c>
      <c r="C139" s="14" t="s">
        <v>67</v>
      </c>
      <c r="D139" s="14"/>
      <c r="E139" s="14" t="n">
        <v>4</v>
      </c>
      <c r="F139" s="14" t="n">
        <v>8</v>
      </c>
      <c r="G139" s="16" t="n">
        <v>12515533</v>
      </c>
      <c r="H139" s="16" t="n">
        <v>5388442</v>
      </c>
      <c r="I139" s="14" t="s">
        <v>156</v>
      </c>
    </row>
    <row r="140" customFormat="false" ht="15" hidden="false" customHeight="false" outlineLevel="0" collapsed="false">
      <c r="A140" s="14" t="s">
        <v>13</v>
      </c>
      <c r="B140" s="15" t="n">
        <v>46147</v>
      </c>
      <c r="C140" s="14" t="s">
        <v>144</v>
      </c>
      <c r="D140" s="14"/>
      <c r="E140" s="14" t="n">
        <v>2</v>
      </c>
      <c r="F140" s="14" t="n">
        <v>9</v>
      </c>
      <c r="G140" s="16" t="n">
        <v>8950700</v>
      </c>
      <c r="H140" s="16" t="n">
        <v>4112320</v>
      </c>
      <c r="I140" s="14" t="s">
        <v>116</v>
      </c>
    </row>
    <row r="141" customFormat="false" ht="15" hidden="false" customHeight="false" outlineLevel="0" collapsed="false">
      <c r="A141" s="14" t="s">
        <v>13</v>
      </c>
      <c r="B141" s="15" t="n">
        <v>46147</v>
      </c>
      <c r="C141" s="14" t="s">
        <v>69</v>
      </c>
      <c r="D141" s="14"/>
      <c r="E141" s="14" t="n">
        <v>1</v>
      </c>
      <c r="F141" s="14" t="n">
        <v>10</v>
      </c>
      <c r="G141" s="16" t="n">
        <v>8008220</v>
      </c>
      <c r="H141" s="16" t="n">
        <v>3598223</v>
      </c>
      <c r="I141" s="14" t="s">
        <v>92</v>
      </c>
    </row>
    <row r="142" customFormat="false" ht="15" hidden="false" customHeight="false" outlineLevel="0" collapsed="false">
      <c r="A142" s="14" t="s">
        <v>14</v>
      </c>
      <c r="B142" s="15" t="n">
        <v>46147</v>
      </c>
      <c r="C142" s="14" t="s">
        <v>125</v>
      </c>
      <c r="D142" s="14" t="s">
        <v>81</v>
      </c>
      <c r="E142" s="14" t="n">
        <v>3</v>
      </c>
      <c r="F142" s="14" t="n">
        <v>1</v>
      </c>
      <c r="G142" s="16" t="n">
        <v>30437027</v>
      </c>
      <c r="H142" s="16" t="n">
        <v>14888222</v>
      </c>
      <c r="I142" s="14" t="s">
        <v>157</v>
      </c>
    </row>
    <row r="143" customFormat="false" ht="15" hidden="false" customHeight="false" outlineLevel="0" collapsed="false">
      <c r="A143" s="14" t="s">
        <v>14</v>
      </c>
      <c r="B143" s="15" t="n">
        <v>46147</v>
      </c>
      <c r="C143" s="14" t="s">
        <v>80</v>
      </c>
      <c r="D143" s="14" t="s">
        <v>81</v>
      </c>
      <c r="E143" s="14" t="n">
        <v>4</v>
      </c>
      <c r="F143" s="14" t="n">
        <v>2</v>
      </c>
      <c r="G143" s="16" t="n">
        <v>28134859</v>
      </c>
      <c r="H143" s="16" t="n">
        <v>12024670</v>
      </c>
      <c r="I143" s="14" t="s">
        <v>83</v>
      </c>
    </row>
    <row r="144" customFormat="false" ht="15" hidden="false" customHeight="false" outlineLevel="0" collapsed="false">
      <c r="A144" s="14" t="s">
        <v>14</v>
      </c>
      <c r="B144" s="15" t="n">
        <v>46147</v>
      </c>
      <c r="C144" s="14" t="s">
        <v>82</v>
      </c>
      <c r="D144" s="14" t="s">
        <v>71</v>
      </c>
      <c r="E144" s="14" t="n">
        <v>4</v>
      </c>
      <c r="F144" s="14" t="n">
        <v>3</v>
      </c>
      <c r="G144" s="16" t="n">
        <v>19076127</v>
      </c>
      <c r="H144" s="16" t="n">
        <v>11706186</v>
      </c>
      <c r="I144" s="14" t="s">
        <v>132</v>
      </c>
    </row>
    <row r="145" customFormat="false" ht="15" hidden="false" customHeight="false" outlineLevel="0" collapsed="false">
      <c r="A145" s="14" t="s">
        <v>14</v>
      </c>
      <c r="B145" s="15" t="n">
        <v>46147</v>
      </c>
      <c r="C145" s="14" t="s">
        <v>73</v>
      </c>
      <c r="D145" s="14" t="s">
        <v>76</v>
      </c>
      <c r="E145" s="14" t="n">
        <v>4</v>
      </c>
      <c r="F145" s="14" t="n">
        <v>4</v>
      </c>
      <c r="G145" s="16" t="n">
        <v>17301424</v>
      </c>
      <c r="H145" s="16" t="n">
        <v>10556350</v>
      </c>
      <c r="I145" s="14" t="s">
        <v>158</v>
      </c>
    </row>
    <row r="146" customFormat="false" ht="15" hidden="false" customHeight="false" outlineLevel="0" collapsed="false">
      <c r="A146" s="14" t="s">
        <v>14</v>
      </c>
      <c r="B146" s="15" t="n">
        <v>46147</v>
      </c>
      <c r="C146" s="14" t="s">
        <v>75</v>
      </c>
      <c r="D146" s="14" t="s">
        <v>81</v>
      </c>
      <c r="E146" s="14" t="n">
        <v>4</v>
      </c>
      <c r="F146" s="14" t="n">
        <v>5</v>
      </c>
      <c r="G146" s="16" t="n">
        <v>16505916</v>
      </c>
      <c r="H146" s="16" t="n">
        <v>7712163</v>
      </c>
      <c r="I146" s="14" t="s">
        <v>156</v>
      </c>
    </row>
    <row r="147" customFormat="false" ht="15" hidden="false" customHeight="false" outlineLevel="0" collapsed="false">
      <c r="A147" s="14" t="s">
        <v>14</v>
      </c>
      <c r="B147" s="15" t="n">
        <v>46147</v>
      </c>
      <c r="C147" s="14" t="s">
        <v>84</v>
      </c>
      <c r="D147" s="14" t="s">
        <v>81</v>
      </c>
      <c r="E147" s="14" t="n">
        <v>4</v>
      </c>
      <c r="F147" s="14" t="n">
        <v>6</v>
      </c>
      <c r="G147" s="16" t="n">
        <v>14030191</v>
      </c>
      <c r="H147" s="16" t="n">
        <v>6322820</v>
      </c>
      <c r="I147" s="14" t="s">
        <v>39</v>
      </c>
    </row>
    <row r="148" customFormat="false" ht="15" hidden="false" customHeight="false" outlineLevel="0" collapsed="false">
      <c r="A148" s="14" t="s">
        <v>14</v>
      </c>
      <c r="B148" s="15" t="n">
        <v>46147</v>
      </c>
      <c r="C148" s="14" t="s">
        <v>78</v>
      </c>
      <c r="D148" s="14" t="s">
        <v>81</v>
      </c>
      <c r="E148" s="14" t="n">
        <v>4</v>
      </c>
      <c r="F148" s="14" t="n">
        <v>7</v>
      </c>
      <c r="G148" s="16" t="n">
        <v>13568839</v>
      </c>
      <c r="H148" s="16" t="n">
        <v>6191448</v>
      </c>
      <c r="I148" s="14" t="s">
        <v>159</v>
      </c>
    </row>
    <row r="149" customFormat="false" ht="15" hidden="false" customHeight="false" outlineLevel="0" collapsed="false">
      <c r="A149" s="14" t="s">
        <v>14</v>
      </c>
      <c r="B149" s="15" t="n">
        <v>46147</v>
      </c>
      <c r="C149" s="14" t="s">
        <v>86</v>
      </c>
      <c r="D149" s="14" t="s">
        <v>76</v>
      </c>
      <c r="E149" s="14" t="n">
        <v>4</v>
      </c>
      <c r="F149" s="14" t="n">
        <v>8</v>
      </c>
      <c r="G149" s="16" t="n">
        <v>11951951</v>
      </c>
      <c r="H149" s="16" t="n">
        <v>7291460</v>
      </c>
      <c r="I149" s="14" t="s">
        <v>160</v>
      </c>
    </row>
    <row r="150" customFormat="false" ht="15" hidden="false" customHeight="false" outlineLevel="0" collapsed="false">
      <c r="A150" s="14" t="s">
        <v>14</v>
      </c>
      <c r="B150" s="15" t="n">
        <v>46147</v>
      </c>
      <c r="C150" s="14" t="s">
        <v>90</v>
      </c>
      <c r="D150" s="14" t="s">
        <v>81</v>
      </c>
      <c r="E150" s="14" t="n">
        <v>4</v>
      </c>
      <c r="F150" s="14" t="n">
        <v>9</v>
      </c>
      <c r="G150" s="16" t="n">
        <v>7585159</v>
      </c>
      <c r="H150" s="16" t="n">
        <v>3616254</v>
      </c>
      <c r="I150" s="14" t="s">
        <v>33</v>
      </c>
    </row>
    <row r="151" customFormat="false" ht="15" hidden="false" customHeight="false" outlineLevel="0" collapsed="false">
      <c r="A151" s="14" t="s">
        <v>14</v>
      </c>
      <c r="B151" s="15" t="n">
        <v>46147</v>
      </c>
      <c r="C151" s="14" t="s">
        <v>88</v>
      </c>
      <c r="D151" s="14" t="s">
        <v>71</v>
      </c>
      <c r="E151" s="14" t="n">
        <v>4</v>
      </c>
      <c r="F151" s="14" t="n">
        <v>10</v>
      </c>
      <c r="G151" s="16" t="n">
        <v>5125314</v>
      </c>
      <c r="H151" s="16" t="n">
        <v>3196129</v>
      </c>
      <c r="I151" s="14" t="s">
        <v>148</v>
      </c>
    </row>
    <row r="152" customFormat="false" ht="15" hidden="false" customHeight="false" outlineLevel="0" collapsed="false">
      <c r="A152" s="14" t="s">
        <v>15</v>
      </c>
      <c r="B152" s="15" t="n">
        <v>46147</v>
      </c>
      <c r="C152" s="14" t="s">
        <v>93</v>
      </c>
      <c r="D152" s="14" t="s">
        <v>81</v>
      </c>
      <c r="E152" s="14" t="n">
        <v>4</v>
      </c>
      <c r="F152" s="14" t="n">
        <v>1</v>
      </c>
      <c r="G152" s="16" t="n">
        <v>30473218</v>
      </c>
      <c r="H152" s="16" t="n">
        <v>15922092</v>
      </c>
      <c r="I152" s="14" t="s">
        <v>61</v>
      </c>
    </row>
    <row r="153" customFormat="false" ht="15" hidden="false" customHeight="false" outlineLevel="0" collapsed="false">
      <c r="A153" s="14" t="s">
        <v>15</v>
      </c>
      <c r="B153" s="15" t="n">
        <v>46147</v>
      </c>
      <c r="C153" s="14" t="s">
        <v>98</v>
      </c>
      <c r="D153" s="14" t="s">
        <v>76</v>
      </c>
      <c r="E153" s="14" t="n">
        <v>1</v>
      </c>
      <c r="F153" s="14" t="n">
        <v>2</v>
      </c>
      <c r="G153" s="16" t="n">
        <v>29110237</v>
      </c>
      <c r="H153" s="16" t="n">
        <v>14573092</v>
      </c>
      <c r="I153" s="14" t="s">
        <v>161</v>
      </c>
    </row>
    <row r="154" customFormat="false" ht="15" hidden="false" customHeight="false" outlineLevel="0" collapsed="false">
      <c r="A154" s="14" t="s">
        <v>15</v>
      </c>
      <c r="B154" s="15" t="n">
        <v>46147</v>
      </c>
      <c r="C154" s="14" t="s">
        <v>95</v>
      </c>
      <c r="D154" s="14" t="s">
        <v>76</v>
      </c>
      <c r="E154" s="14" t="n">
        <v>4</v>
      </c>
      <c r="F154" s="14" t="n">
        <v>3</v>
      </c>
      <c r="G154" s="16" t="n">
        <v>28978191</v>
      </c>
      <c r="H154" s="16" t="n">
        <v>15313718</v>
      </c>
      <c r="I154" s="14" t="s">
        <v>162</v>
      </c>
    </row>
    <row r="155" customFormat="false" ht="15" hidden="false" customHeight="false" outlineLevel="0" collapsed="false">
      <c r="A155" s="14" t="s">
        <v>15</v>
      </c>
      <c r="B155" s="15" t="n">
        <v>46147</v>
      </c>
      <c r="C155" s="14" t="s">
        <v>91</v>
      </c>
      <c r="D155" s="14" t="s">
        <v>76</v>
      </c>
      <c r="E155" s="14" t="n">
        <v>4</v>
      </c>
      <c r="F155" s="14" t="n">
        <v>4</v>
      </c>
      <c r="G155" s="16" t="n">
        <v>22229448</v>
      </c>
      <c r="H155" s="16" t="n">
        <v>12619016</v>
      </c>
      <c r="I155" s="14" t="s">
        <v>163</v>
      </c>
    </row>
    <row r="156" customFormat="false" ht="15" hidden="false" customHeight="false" outlineLevel="0" collapsed="false">
      <c r="A156" s="14" t="s">
        <v>15</v>
      </c>
      <c r="B156" s="15" t="n">
        <v>46147</v>
      </c>
      <c r="C156" s="14" t="s">
        <v>103</v>
      </c>
      <c r="D156" s="14" t="s">
        <v>71</v>
      </c>
      <c r="E156" s="14" t="n">
        <v>4</v>
      </c>
      <c r="F156" s="14" t="n">
        <v>5</v>
      </c>
      <c r="G156" s="16" t="n">
        <v>18797843</v>
      </c>
      <c r="H156" s="16" t="n">
        <v>9577913</v>
      </c>
      <c r="I156" s="14" t="s">
        <v>92</v>
      </c>
    </row>
    <row r="157" customFormat="false" ht="15" hidden="false" customHeight="false" outlineLevel="0" collapsed="false">
      <c r="A157" s="14" t="s">
        <v>15</v>
      </c>
      <c r="B157" s="15" t="n">
        <v>46147</v>
      </c>
      <c r="C157" s="14" t="s">
        <v>101</v>
      </c>
      <c r="D157" s="14" t="s">
        <v>71</v>
      </c>
      <c r="E157" s="14" t="n">
        <v>4</v>
      </c>
      <c r="F157" s="14" t="n">
        <v>6</v>
      </c>
      <c r="G157" s="16" t="n">
        <v>17806237</v>
      </c>
      <c r="H157" s="16" t="n">
        <v>9498513</v>
      </c>
      <c r="I157" s="14" t="s">
        <v>83</v>
      </c>
    </row>
    <row r="158" customFormat="false" ht="15" hidden="false" customHeight="false" outlineLevel="0" collapsed="false">
      <c r="A158" s="14" t="s">
        <v>15</v>
      </c>
      <c r="B158" s="15" t="n">
        <v>46147</v>
      </c>
      <c r="C158" s="14" t="s">
        <v>97</v>
      </c>
      <c r="D158" s="14" t="s">
        <v>81</v>
      </c>
      <c r="E158" s="14" t="n">
        <v>4</v>
      </c>
      <c r="F158" s="14" t="n">
        <v>7</v>
      </c>
      <c r="G158" s="16" t="n">
        <v>17686059</v>
      </c>
      <c r="H158" s="16" t="n">
        <v>7470770</v>
      </c>
      <c r="I158" s="14" t="s">
        <v>68</v>
      </c>
    </row>
    <row r="159" customFormat="false" ht="15" hidden="false" customHeight="false" outlineLevel="0" collapsed="false">
      <c r="A159" s="14" t="s">
        <v>15</v>
      </c>
      <c r="B159" s="15" t="n">
        <v>46147</v>
      </c>
      <c r="C159" s="14" t="s">
        <v>133</v>
      </c>
      <c r="D159" s="14" t="s">
        <v>76</v>
      </c>
      <c r="E159" s="14" t="n">
        <v>3</v>
      </c>
      <c r="F159" s="14" t="n">
        <v>8</v>
      </c>
      <c r="G159" s="16" t="n">
        <v>13627680</v>
      </c>
      <c r="H159" s="16" t="n">
        <v>6704274</v>
      </c>
      <c r="I159" s="14" t="s">
        <v>141</v>
      </c>
    </row>
    <row r="160" customFormat="false" ht="15" hidden="false" customHeight="false" outlineLevel="0" collapsed="false">
      <c r="A160" s="14" t="s">
        <v>15</v>
      </c>
      <c r="B160" s="15" t="n">
        <v>46147</v>
      </c>
      <c r="C160" s="14" t="s">
        <v>105</v>
      </c>
      <c r="D160" s="14" t="s">
        <v>76</v>
      </c>
      <c r="E160" s="14" t="n">
        <v>4</v>
      </c>
      <c r="F160" s="14" t="n">
        <v>9</v>
      </c>
      <c r="G160" s="16" t="n">
        <v>10273957</v>
      </c>
      <c r="H160" s="16" t="n">
        <v>4433020</v>
      </c>
      <c r="I160" s="14" t="s">
        <v>149</v>
      </c>
    </row>
    <row r="161" customFormat="false" ht="15" hidden="false" customHeight="false" outlineLevel="0" collapsed="false">
      <c r="A161" s="14" t="s">
        <v>15</v>
      </c>
      <c r="B161" s="15" t="n">
        <v>46147</v>
      </c>
      <c r="C161" s="14" t="s">
        <v>107</v>
      </c>
      <c r="D161" s="14" t="s">
        <v>81</v>
      </c>
      <c r="E161" s="14" t="n">
        <v>4</v>
      </c>
      <c r="F161" s="14" t="n">
        <v>10</v>
      </c>
      <c r="G161" s="16" t="n">
        <v>8426057</v>
      </c>
      <c r="H161" s="16" t="n">
        <v>4529470</v>
      </c>
      <c r="I161" s="14" t="s">
        <v>164</v>
      </c>
    </row>
    <row r="162" customFormat="false" ht="15" hidden="false" customHeight="false" outlineLevel="0" collapsed="false">
      <c r="A162" s="14" t="s">
        <v>12</v>
      </c>
      <c r="B162" s="15" t="n">
        <v>46154</v>
      </c>
      <c r="C162" s="14" t="s">
        <v>32</v>
      </c>
      <c r="D162" s="14"/>
      <c r="E162" s="14" t="n">
        <v>5</v>
      </c>
      <c r="F162" s="14" t="n">
        <v>1</v>
      </c>
      <c r="G162" s="16" t="n">
        <v>26985518</v>
      </c>
      <c r="H162" s="16" t="n">
        <v>11413844</v>
      </c>
      <c r="I162" s="14" t="s">
        <v>165</v>
      </c>
    </row>
    <row r="163" customFormat="false" ht="15" hidden="false" customHeight="false" outlineLevel="0" collapsed="false">
      <c r="A163" s="14" t="s">
        <v>12</v>
      </c>
      <c r="B163" s="15" t="n">
        <v>46154</v>
      </c>
      <c r="C163" s="14" t="s">
        <v>38</v>
      </c>
      <c r="D163" s="14"/>
      <c r="E163" s="14" t="n">
        <v>5</v>
      </c>
      <c r="F163" s="14" t="n">
        <v>2</v>
      </c>
      <c r="G163" s="16" t="n">
        <v>25806908</v>
      </c>
      <c r="H163" s="16" t="n">
        <v>13258939</v>
      </c>
      <c r="I163" s="14" t="s">
        <v>166</v>
      </c>
    </row>
    <row r="164" customFormat="false" ht="15" hidden="false" customHeight="false" outlineLevel="0" collapsed="false">
      <c r="A164" s="14" t="s">
        <v>12</v>
      </c>
      <c r="B164" s="15" t="n">
        <v>46154</v>
      </c>
      <c r="C164" s="14" t="s">
        <v>34</v>
      </c>
      <c r="D164" s="14"/>
      <c r="E164" s="14" t="n">
        <v>5</v>
      </c>
      <c r="F164" s="14" t="n">
        <v>3</v>
      </c>
      <c r="G164" s="16" t="n">
        <v>22455636</v>
      </c>
      <c r="H164" s="16" t="n">
        <v>13787678</v>
      </c>
      <c r="I164" s="14" t="s">
        <v>151</v>
      </c>
    </row>
    <row r="165" customFormat="false" ht="15" hidden="false" customHeight="false" outlineLevel="0" collapsed="false">
      <c r="A165" s="14" t="s">
        <v>12</v>
      </c>
      <c r="B165" s="15" t="n">
        <v>46154</v>
      </c>
      <c r="C165" s="14" t="s">
        <v>136</v>
      </c>
      <c r="D165" s="14"/>
      <c r="E165" s="14" t="n">
        <v>3</v>
      </c>
      <c r="F165" s="14" t="n">
        <v>4</v>
      </c>
      <c r="G165" s="16" t="n">
        <v>21288151</v>
      </c>
      <c r="H165" s="16" t="n">
        <v>12653425</v>
      </c>
      <c r="I165" s="14" t="s">
        <v>68</v>
      </c>
    </row>
    <row r="166" customFormat="false" ht="15" hidden="false" customHeight="false" outlineLevel="0" collapsed="false">
      <c r="A166" s="14" t="s">
        <v>12</v>
      </c>
      <c r="B166" s="15" t="n">
        <v>46154</v>
      </c>
      <c r="C166" s="14" t="s">
        <v>42</v>
      </c>
      <c r="D166" s="14"/>
      <c r="E166" s="14" t="n">
        <v>2</v>
      </c>
      <c r="F166" s="14" t="n">
        <v>5</v>
      </c>
      <c r="G166" s="16" t="n">
        <v>20813507</v>
      </c>
      <c r="H166" s="16" t="n">
        <v>12746631</v>
      </c>
      <c r="I166" s="14" t="s">
        <v>132</v>
      </c>
    </row>
    <row r="167" customFormat="false" ht="15" hidden="false" customHeight="false" outlineLevel="0" collapsed="false">
      <c r="A167" s="14" t="s">
        <v>12</v>
      </c>
      <c r="B167" s="15" t="n">
        <v>46154</v>
      </c>
      <c r="C167" s="14" t="s">
        <v>40</v>
      </c>
      <c r="D167" s="14"/>
      <c r="E167" s="14" t="n">
        <v>5</v>
      </c>
      <c r="F167" s="14" t="n">
        <v>6</v>
      </c>
      <c r="G167" s="16" t="n">
        <v>20008252</v>
      </c>
      <c r="H167" s="16" t="n">
        <v>12108422</v>
      </c>
      <c r="I167" s="14" t="s">
        <v>118</v>
      </c>
    </row>
    <row r="168" customFormat="false" ht="15" hidden="false" customHeight="false" outlineLevel="0" collapsed="false">
      <c r="A168" s="14" t="s">
        <v>12</v>
      </c>
      <c r="B168" s="15" t="n">
        <v>46154</v>
      </c>
      <c r="C168" s="14" t="s">
        <v>44</v>
      </c>
      <c r="D168" s="14"/>
      <c r="E168" s="14" t="n">
        <v>5</v>
      </c>
      <c r="F168" s="14" t="n">
        <v>7</v>
      </c>
      <c r="G168" s="16" t="n">
        <v>14981648</v>
      </c>
      <c r="H168" s="16" t="n">
        <v>7627764</v>
      </c>
      <c r="I168" s="14" t="s">
        <v>167</v>
      </c>
    </row>
    <row r="169" customFormat="false" ht="15" hidden="false" customHeight="false" outlineLevel="0" collapsed="false">
      <c r="A169" s="14" t="s">
        <v>12</v>
      </c>
      <c r="B169" s="15" t="n">
        <v>46154</v>
      </c>
      <c r="C169" s="14" t="s">
        <v>46</v>
      </c>
      <c r="D169" s="14"/>
      <c r="E169" s="14" t="n">
        <v>5</v>
      </c>
      <c r="F169" s="14" t="n">
        <v>8</v>
      </c>
      <c r="G169" s="16" t="n">
        <v>13276567</v>
      </c>
      <c r="H169" s="16" t="n">
        <v>7176305</v>
      </c>
      <c r="I169" s="14" t="s">
        <v>166</v>
      </c>
    </row>
    <row r="170" customFormat="false" ht="15" hidden="false" customHeight="false" outlineLevel="0" collapsed="false">
      <c r="A170" s="14" t="s">
        <v>12</v>
      </c>
      <c r="B170" s="15" t="n">
        <v>46154</v>
      </c>
      <c r="C170" s="14" t="s">
        <v>48</v>
      </c>
      <c r="D170" s="14"/>
      <c r="E170" s="14" t="n">
        <v>5</v>
      </c>
      <c r="F170" s="14" t="n">
        <v>9</v>
      </c>
      <c r="G170" s="16" t="n">
        <v>9474675</v>
      </c>
      <c r="H170" s="16" t="n">
        <v>5774535</v>
      </c>
      <c r="I170" s="14" t="s">
        <v>154</v>
      </c>
    </row>
    <row r="171" customFormat="false" ht="15" hidden="false" customHeight="false" outlineLevel="0" collapsed="false">
      <c r="A171" s="14" t="s">
        <v>12</v>
      </c>
      <c r="B171" s="15" t="n">
        <v>46154</v>
      </c>
      <c r="C171" s="14" t="s">
        <v>114</v>
      </c>
      <c r="D171" s="14"/>
      <c r="E171" s="14" t="n">
        <v>1</v>
      </c>
      <c r="F171" s="14" t="n">
        <v>10</v>
      </c>
      <c r="G171" s="16" t="n">
        <v>8969871</v>
      </c>
      <c r="H171" s="16" t="n">
        <v>4702167</v>
      </c>
      <c r="I171" s="14" t="s">
        <v>104</v>
      </c>
    </row>
    <row r="172" customFormat="false" ht="15" hidden="false" customHeight="false" outlineLevel="0" collapsed="false">
      <c r="A172" s="14" t="s">
        <v>13</v>
      </c>
      <c r="B172" s="15" t="n">
        <v>46154</v>
      </c>
      <c r="C172" s="14" t="s">
        <v>54</v>
      </c>
      <c r="D172" s="14"/>
      <c r="E172" s="14" t="n">
        <v>5</v>
      </c>
      <c r="F172" s="14" t="n">
        <v>1</v>
      </c>
      <c r="G172" s="16" t="n">
        <v>29914327</v>
      </c>
      <c r="H172" s="16" t="n">
        <v>15195615</v>
      </c>
      <c r="I172" s="14" t="s">
        <v>168</v>
      </c>
    </row>
    <row r="173" customFormat="false" ht="15" hidden="false" customHeight="false" outlineLevel="0" collapsed="false">
      <c r="A173" s="14" t="s">
        <v>13</v>
      </c>
      <c r="B173" s="15" t="n">
        <v>46154</v>
      </c>
      <c r="C173" s="14" t="s">
        <v>52</v>
      </c>
      <c r="D173" s="14"/>
      <c r="E173" s="14" t="n">
        <v>5</v>
      </c>
      <c r="F173" s="14" t="n">
        <v>2</v>
      </c>
      <c r="G173" s="16" t="n">
        <v>22446208</v>
      </c>
      <c r="H173" s="16" t="n">
        <v>13047365</v>
      </c>
      <c r="I173" s="14" t="s">
        <v>43</v>
      </c>
    </row>
    <row r="174" customFormat="false" ht="15" hidden="false" customHeight="false" outlineLevel="0" collapsed="false">
      <c r="A174" s="14" t="s">
        <v>13</v>
      </c>
      <c r="B174" s="15" t="n">
        <v>46154</v>
      </c>
      <c r="C174" s="14" t="s">
        <v>62</v>
      </c>
      <c r="D174" s="14"/>
      <c r="E174" s="14" t="n">
        <v>1</v>
      </c>
      <c r="F174" s="14" t="n">
        <v>3</v>
      </c>
      <c r="G174" s="16" t="n">
        <v>20236070</v>
      </c>
      <c r="H174" s="16" t="n">
        <v>12354893</v>
      </c>
      <c r="I174" s="14" t="s">
        <v>123</v>
      </c>
    </row>
    <row r="175" customFormat="false" ht="15" hidden="false" customHeight="false" outlineLevel="0" collapsed="false">
      <c r="A175" s="14" t="s">
        <v>13</v>
      </c>
      <c r="B175" s="15" t="n">
        <v>46154</v>
      </c>
      <c r="C175" s="14" t="s">
        <v>58</v>
      </c>
      <c r="D175" s="14"/>
      <c r="E175" s="14" t="n">
        <v>5</v>
      </c>
      <c r="F175" s="14" t="n">
        <v>4</v>
      </c>
      <c r="G175" s="16" t="n">
        <v>19304726</v>
      </c>
      <c r="H175" s="16" t="n">
        <v>8267341</v>
      </c>
      <c r="I175" s="14" t="s">
        <v>112</v>
      </c>
    </row>
    <row r="176" customFormat="false" ht="15" hidden="false" customHeight="false" outlineLevel="0" collapsed="false">
      <c r="A176" s="14" t="s">
        <v>13</v>
      </c>
      <c r="B176" s="15" t="n">
        <v>46154</v>
      </c>
      <c r="C176" s="14" t="s">
        <v>142</v>
      </c>
      <c r="D176" s="14"/>
      <c r="E176" s="14" t="n">
        <v>3</v>
      </c>
      <c r="F176" s="14" t="n">
        <v>5</v>
      </c>
      <c r="G176" s="16" t="n">
        <v>17696679</v>
      </c>
      <c r="H176" s="16" t="n">
        <v>11009451</v>
      </c>
      <c r="I176" s="14" t="s">
        <v>111</v>
      </c>
    </row>
    <row r="177" customFormat="false" ht="15" hidden="false" customHeight="false" outlineLevel="0" collapsed="false">
      <c r="A177" s="14" t="s">
        <v>13</v>
      </c>
      <c r="B177" s="15" t="n">
        <v>46154</v>
      </c>
      <c r="C177" s="14" t="s">
        <v>65</v>
      </c>
      <c r="D177" s="14"/>
      <c r="E177" s="14" t="n">
        <v>5</v>
      </c>
      <c r="F177" s="14" t="n">
        <v>6</v>
      </c>
      <c r="G177" s="16" t="n">
        <v>17664276</v>
      </c>
      <c r="H177" s="16" t="n">
        <v>10870144</v>
      </c>
      <c r="I177" s="14" t="s">
        <v>152</v>
      </c>
    </row>
    <row r="178" customFormat="false" ht="15" hidden="false" customHeight="false" outlineLevel="0" collapsed="false">
      <c r="A178" s="14" t="s">
        <v>13</v>
      </c>
      <c r="B178" s="15" t="n">
        <v>46154</v>
      </c>
      <c r="C178" s="14" t="s">
        <v>67</v>
      </c>
      <c r="D178" s="14"/>
      <c r="E178" s="14" t="n">
        <v>5</v>
      </c>
      <c r="F178" s="14" t="n">
        <v>7</v>
      </c>
      <c r="G178" s="16" t="n">
        <v>16956979</v>
      </c>
      <c r="H178" s="16" t="n">
        <v>10042607</v>
      </c>
      <c r="I178" s="14" t="s">
        <v>43</v>
      </c>
    </row>
    <row r="179" customFormat="false" ht="15" hidden="false" customHeight="false" outlineLevel="0" collapsed="false">
      <c r="A179" s="14" t="s">
        <v>13</v>
      </c>
      <c r="B179" s="15" t="n">
        <v>46154</v>
      </c>
      <c r="C179" s="14" t="s">
        <v>144</v>
      </c>
      <c r="D179" s="14"/>
      <c r="E179" s="14" t="n">
        <v>3</v>
      </c>
      <c r="F179" s="14" t="n">
        <v>8</v>
      </c>
      <c r="G179" s="16" t="n">
        <v>13111570</v>
      </c>
      <c r="H179" s="16" t="n">
        <v>7311374</v>
      </c>
      <c r="I179" s="14" t="s">
        <v>135</v>
      </c>
    </row>
    <row r="180" customFormat="false" ht="15" hidden="false" customHeight="false" outlineLevel="0" collapsed="false">
      <c r="A180" s="14" t="s">
        <v>13</v>
      </c>
      <c r="B180" s="15" t="n">
        <v>46154</v>
      </c>
      <c r="C180" s="14" t="s">
        <v>64</v>
      </c>
      <c r="D180" s="14"/>
      <c r="E180" s="14" t="n">
        <v>5</v>
      </c>
      <c r="F180" s="14" t="n">
        <v>9</v>
      </c>
      <c r="G180" s="16" t="n">
        <v>10797528</v>
      </c>
      <c r="H180" s="16" t="n">
        <v>5253326</v>
      </c>
      <c r="I180" s="14" t="s">
        <v>169</v>
      </c>
    </row>
    <row r="181" customFormat="false" ht="15" hidden="false" customHeight="false" outlineLevel="0" collapsed="false">
      <c r="A181" s="14" t="s">
        <v>13</v>
      </c>
      <c r="B181" s="15" t="n">
        <v>46154</v>
      </c>
      <c r="C181" s="14" t="s">
        <v>69</v>
      </c>
      <c r="D181" s="14"/>
      <c r="E181" s="14" t="n">
        <v>2</v>
      </c>
      <c r="F181" s="14" t="n">
        <v>10</v>
      </c>
      <c r="G181" s="16" t="n">
        <v>6630041</v>
      </c>
      <c r="H181" s="16" t="n">
        <v>2908488</v>
      </c>
      <c r="I181" s="14" t="s">
        <v>138</v>
      </c>
    </row>
    <row r="182" customFormat="false" ht="15" hidden="false" customHeight="false" outlineLevel="0" collapsed="false">
      <c r="A182" s="14" t="s">
        <v>14</v>
      </c>
      <c r="B182" s="15" t="n">
        <v>46154</v>
      </c>
      <c r="C182" s="14" t="s">
        <v>70</v>
      </c>
      <c r="D182" s="14" t="s">
        <v>76</v>
      </c>
      <c r="E182" s="14" t="n">
        <v>1</v>
      </c>
      <c r="F182" s="14" t="n">
        <v>1</v>
      </c>
      <c r="G182" s="16" t="n">
        <v>28984578</v>
      </c>
      <c r="H182" s="16" t="n">
        <v>17944581</v>
      </c>
      <c r="I182" s="14" t="s">
        <v>63</v>
      </c>
    </row>
    <row r="183" customFormat="false" ht="15" hidden="false" customHeight="false" outlineLevel="0" collapsed="false">
      <c r="A183" s="14" t="s">
        <v>14</v>
      </c>
      <c r="B183" s="15" t="n">
        <v>46154</v>
      </c>
      <c r="C183" s="14" t="s">
        <v>75</v>
      </c>
      <c r="D183" s="14" t="s">
        <v>81</v>
      </c>
      <c r="E183" s="14" t="n">
        <v>5</v>
      </c>
      <c r="F183" s="14" t="n">
        <v>2</v>
      </c>
      <c r="G183" s="16" t="n">
        <v>23161650</v>
      </c>
      <c r="H183" s="16" t="n">
        <v>10623895</v>
      </c>
      <c r="I183" s="14" t="s">
        <v>102</v>
      </c>
    </row>
    <row r="184" customFormat="false" ht="15" hidden="false" customHeight="false" outlineLevel="0" collapsed="false">
      <c r="A184" s="14" t="s">
        <v>14</v>
      </c>
      <c r="B184" s="15" t="n">
        <v>46154</v>
      </c>
      <c r="C184" s="14" t="s">
        <v>78</v>
      </c>
      <c r="D184" s="14" t="s">
        <v>76</v>
      </c>
      <c r="E184" s="14" t="n">
        <v>5</v>
      </c>
      <c r="F184" s="14" t="n">
        <v>3</v>
      </c>
      <c r="G184" s="16" t="n">
        <v>22281915</v>
      </c>
      <c r="H184" s="16" t="n">
        <v>10170376</v>
      </c>
      <c r="I184" s="14" t="s">
        <v>170</v>
      </c>
    </row>
    <row r="185" customFormat="false" ht="15" hidden="false" customHeight="false" outlineLevel="0" collapsed="false">
      <c r="A185" s="14" t="s">
        <v>14</v>
      </c>
      <c r="B185" s="15" t="n">
        <v>46154</v>
      </c>
      <c r="C185" s="14" t="s">
        <v>73</v>
      </c>
      <c r="D185" s="14" t="s">
        <v>71</v>
      </c>
      <c r="E185" s="14" t="n">
        <v>5</v>
      </c>
      <c r="F185" s="14" t="n">
        <v>4</v>
      </c>
      <c r="G185" s="16" t="n">
        <v>21278869</v>
      </c>
      <c r="H185" s="16" t="n">
        <v>9203601</v>
      </c>
      <c r="I185" s="14" t="s">
        <v>171</v>
      </c>
    </row>
    <row r="186" customFormat="false" ht="15" hidden="false" customHeight="false" outlineLevel="0" collapsed="false">
      <c r="A186" s="14" t="s">
        <v>14</v>
      </c>
      <c r="B186" s="15" t="n">
        <v>46154</v>
      </c>
      <c r="C186" s="14" t="s">
        <v>125</v>
      </c>
      <c r="D186" s="14" t="s">
        <v>76</v>
      </c>
      <c r="E186" s="14" t="n">
        <v>4</v>
      </c>
      <c r="F186" s="14" t="n">
        <v>5</v>
      </c>
      <c r="G186" s="16" t="n">
        <v>20653966</v>
      </c>
      <c r="H186" s="16" t="n">
        <v>12143526</v>
      </c>
      <c r="I186" s="14" t="s">
        <v>143</v>
      </c>
    </row>
    <row r="187" customFormat="false" ht="15" hidden="false" customHeight="false" outlineLevel="0" collapsed="false">
      <c r="A187" s="14" t="s">
        <v>14</v>
      </c>
      <c r="B187" s="15" t="n">
        <v>46154</v>
      </c>
      <c r="C187" s="14" t="s">
        <v>80</v>
      </c>
      <c r="D187" s="14" t="s">
        <v>76</v>
      </c>
      <c r="E187" s="14" t="n">
        <v>5</v>
      </c>
      <c r="F187" s="14" t="n">
        <v>6</v>
      </c>
      <c r="G187" s="16" t="n">
        <v>17480435</v>
      </c>
      <c r="H187" s="16" t="n">
        <v>8113542</v>
      </c>
      <c r="I187" s="14" t="s">
        <v>128</v>
      </c>
    </row>
    <row r="188" customFormat="false" ht="15" hidden="false" customHeight="false" outlineLevel="0" collapsed="false">
      <c r="A188" s="14" t="s">
        <v>14</v>
      </c>
      <c r="B188" s="15" t="n">
        <v>46154</v>
      </c>
      <c r="C188" s="14" t="s">
        <v>84</v>
      </c>
      <c r="D188" s="14" t="s">
        <v>81</v>
      </c>
      <c r="E188" s="14" t="n">
        <v>5</v>
      </c>
      <c r="F188" s="14" t="n">
        <v>7</v>
      </c>
      <c r="G188" s="16" t="n">
        <v>17448693</v>
      </c>
      <c r="H188" s="16" t="n">
        <v>8698970</v>
      </c>
      <c r="I188" s="14" t="s">
        <v>147</v>
      </c>
    </row>
    <row r="189" customFormat="false" ht="15" hidden="false" customHeight="false" outlineLevel="0" collapsed="false">
      <c r="A189" s="14" t="s">
        <v>14</v>
      </c>
      <c r="B189" s="15" t="n">
        <v>46154</v>
      </c>
      <c r="C189" s="14" t="s">
        <v>86</v>
      </c>
      <c r="D189" s="14" t="s">
        <v>76</v>
      </c>
      <c r="E189" s="14" t="n">
        <v>5</v>
      </c>
      <c r="F189" s="14" t="n">
        <v>8</v>
      </c>
      <c r="G189" s="16" t="n">
        <v>12772428</v>
      </c>
      <c r="H189" s="16" t="n">
        <v>7966803</v>
      </c>
      <c r="I189" s="14" t="s">
        <v>134</v>
      </c>
    </row>
    <row r="190" customFormat="false" ht="15" hidden="false" customHeight="false" outlineLevel="0" collapsed="false">
      <c r="A190" s="14" t="s">
        <v>14</v>
      </c>
      <c r="B190" s="15" t="n">
        <v>46154</v>
      </c>
      <c r="C190" s="14" t="s">
        <v>90</v>
      </c>
      <c r="D190" s="14" t="s">
        <v>71</v>
      </c>
      <c r="E190" s="14" t="n">
        <v>5</v>
      </c>
      <c r="F190" s="14" t="n">
        <v>9</v>
      </c>
      <c r="G190" s="16" t="n">
        <v>10058299</v>
      </c>
      <c r="H190" s="16" t="n">
        <v>4200640</v>
      </c>
      <c r="I190" s="14" t="s">
        <v>172</v>
      </c>
    </row>
    <row r="191" customFormat="false" ht="15" hidden="false" customHeight="false" outlineLevel="0" collapsed="false">
      <c r="A191" s="14" t="s">
        <v>14</v>
      </c>
      <c r="B191" s="15" t="n">
        <v>46154</v>
      </c>
      <c r="C191" s="14" t="s">
        <v>88</v>
      </c>
      <c r="D191" s="14" t="s">
        <v>81</v>
      </c>
      <c r="E191" s="14" t="n">
        <v>5</v>
      </c>
      <c r="F191" s="14" t="n">
        <v>10</v>
      </c>
      <c r="G191" s="16" t="n">
        <v>8534844</v>
      </c>
      <c r="H191" s="16" t="n">
        <v>5015988</v>
      </c>
      <c r="I191" s="14" t="s">
        <v>47</v>
      </c>
    </row>
    <row r="192" customFormat="false" ht="15" hidden="false" customHeight="false" outlineLevel="0" collapsed="false">
      <c r="A192" s="14" t="s">
        <v>15</v>
      </c>
      <c r="B192" s="15" t="n">
        <v>46154</v>
      </c>
      <c r="C192" s="14" t="s">
        <v>93</v>
      </c>
      <c r="D192" s="14" t="s">
        <v>71</v>
      </c>
      <c r="E192" s="14" t="n">
        <v>5</v>
      </c>
      <c r="F192" s="14" t="n">
        <v>1</v>
      </c>
      <c r="G192" s="16" t="n">
        <v>28507655</v>
      </c>
      <c r="H192" s="16" t="n">
        <v>14139411</v>
      </c>
      <c r="I192" s="14" t="s">
        <v>173</v>
      </c>
    </row>
    <row r="193" customFormat="false" ht="15" hidden="false" customHeight="false" outlineLevel="0" collapsed="false">
      <c r="A193" s="14" t="s">
        <v>15</v>
      </c>
      <c r="B193" s="15" t="n">
        <v>46154</v>
      </c>
      <c r="C193" s="14" t="s">
        <v>98</v>
      </c>
      <c r="D193" s="14" t="s">
        <v>81</v>
      </c>
      <c r="E193" s="14" t="n">
        <v>2</v>
      </c>
      <c r="F193" s="14" t="n">
        <v>2</v>
      </c>
      <c r="G193" s="16" t="n">
        <v>25965904</v>
      </c>
      <c r="H193" s="16" t="n">
        <v>15499648</v>
      </c>
      <c r="I193" s="14" t="s">
        <v>143</v>
      </c>
    </row>
    <row r="194" customFormat="false" ht="15" hidden="false" customHeight="false" outlineLevel="0" collapsed="false">
      <c r="A194" s="14" t="s">
        <v>15</v>
      </c>
      <c r="B194" s="15" t="n">
        <v>46154</v>
      </c>
      <c r="C194" s="14" t="s">
        <v>95</v>
      </c>
      <c r="D194" s="14" t="s">
        <v>81</v>
      </c>
      <c r="E194" s="14" t="n">
        <v>5</v>
      </c>
      <c r="F194" s="14" t="n">
        <v>3</v>
      </c>
      <c r="G194" s="16" t="n">
        <v>25349536</v>
      </c>
      <c r="H194" s="16" t="n">
        <v>13230406</v>
      </c>
      <c r="I194" s="14" t="s">
        <v>59</v>
      </c>
    </row>
    <row r="195" customFormat="false" ht="15" hidden="false" customHeight="false" outlineLevel="0" collapsed="false">
      <c r="A195" s="14" t="s">
        <v>15</v>
      </c>
      <c r="B195" s="15" t="n">
        <v>46154</v>
      </c>
      <c r="C195" s="14" t="s">
        <v>91</v>
      </c>
      <c r="D195" s="14" t="s">
        <v>81</v>
      </c>
      <c r="E195" s="14" t="n">
        <v>5</v>
      </c>
      <c r="F195" s="14" t="n">
        <v>4</v>
      </c>
      <c r="G195" s="16" t="n">
        <v>24369973</v>
      </c>
      <c r="H195" s="16" t="n">
        <v>14172714</v>
      </c>
      <c r="I195" s="14" t="s">
        <v>174</v>
      </c>
    </row>
    <row r="196" customFormat="false" ht="15" hidden="false" customHeight="false" outlineLevel="0" collapsed="false">
      <c r="A196" s="14" t="s">
        <v>15</v>
      </c>
      <c r="B196" s="15" t="n">
        <v>46154</v>
      </c>
      <c r="C196" s="14" t="s">
        <v>97</v>
      </c>
      <c r="D196" s="14" t="s">
        <v>76</v>
      </c>
      <c r="E196" s="14" t="n">
        <v>5</v>
      </c>
      <c r="F196" s="14" t="n">
        <v>5</v>
      </c>
      <c r="G196" s="16" t="n">
        <v>21677411</v>
      </c>
      <c r="H196" s="16" t="n">
        <v>12438599</v>
      </c>
      <c r="I196" s="14" t="s">
        <v>35</v>
      </c>
    </row>
    <row r="197" customFormat="false" ht="15" hidden="false" customHeight="false" outlineLevel="0" collapsed="false">
      <c r="A197" s="14" t="s">
        <v>15</v>
      </c>
      <c r="B197" s="15" t="n">
        <v>46154</v>
      </c>
      <c r="C197" s="14" t="s">
        <v>133</v>
      </c>
      <c r="D197" s="14" t="s">
        <v>81</v>
      </c>
      <c r="E197" s="14" t="n">
        <v>4</v>
      </c>
      <c r="F197" s="14" t="n">
        <v>6</v>
      </c>
      <c r="G197" s="16" t="n">
        <v>17870555</v>
      </c>
      <c r="H197" s="16" t="n">
        <v>7813336</v>
      </c>
      <c r="I197" s="14" t="s">
        <v>155</v>
      </c>
    </row>
    <row r="198" customFormat="false" ht="15" hidden="false" customHeight="false" outlineLevel="0" collapsed="false">
      <c r="A198" s="14" t="s">
        <v>15</v>
      </c>
      <c r="B198" s="15" t="n">
        <v>46154</v>
      </c>
      <c r="C198" s="14" t="s">
        <v>103</v>
      </c>
      <c r="D198" s="14" t="s">
        <v>71</v>
      </c>
      <c r="E198" s="14" t="n">
        <v>5</v>
      </c>
      <c r="F198" s="14" t="n">
        <v>7</v>
      </c>
      <c r="G198" s="16" t="n">
        <v>17732164</v>
      </c>
      <c r="H198" s="16" t="n">
        <v>10019768</v>
      </c>
      <c r="I198" s="14" t="s">
        <v>161</v>
      </c>
    </row>
    <row r="199" customFormat="false" ht="15" hidden="false" customHeight="false" outlineLevel="0" collapsed="false">
      <c r="A199" s="14" t="s">
        <v>15</v>
      </c>
      <c r="B199" s="15" t="n">
        <v>46154</v>
      </c>
      <c r="C199" s="14" t="s">
        <v>175</v>
      </c>
      <c r="D199" s="14" t="s">
        <v>81</v>
      </c>
      <c r="E199" s="14" t="n">
        <v>1</v>
      </c>
      <c r="F199" s="14" t="n">
        <v>8</v>
      </c>
      <c r="G199" s="16" t="n">
        <v>11916072</v>
      </c>
      <c r="H199" s="16" t="n">
        <v>5449101</v>
      </c>
      <c r="I199" s="14" t="s">
        <v>176</v>
      </c>
    </row>
    <row r="200" customFormat="false" ht="15" hidden="false" customHeight="false" outlineLevel="0" collapsed="false">
      <c r="A200" s="14" t="s">
        <v>15</v>
      </c>
      <c r="B200" s="15" t="n">
        <v>46154</v>
      </c>
      <c r="C200" s="14" t="s">
        <v>105</v>
      </c>
      <c r="D200" s="14" t="s">
        <v>71</v>
      </c>
      <c r="E200" s="14" t="n">
        <v>5</v>
      </c>
      <c r="F200" s="14" t="n">
        <v>9</v>
      </c>
      <c r="G200" s="16" t="n">
        <v>9603002</v>
      </c>
      <c r="H200" s="16" t="n">
        <v>5045601</v>
      </c>
      <c r="I200" s="14" t="s">
        <v>108</v>
      </c>
    </row>
    <row r="201" customFormat="false" ht="15" hidden="false" customHeight="false" outlineLevel="0" collapsed="false">
      <c r="A201" s="14" t="s">
        <v>15</v>
      </c>
      <c r="B201" s="15" t="n">
        <v>46154</v>
      </c>
      <c r="C201" s="14" t="s">
        <v>107</v>
      </c>
      <c r="D201" s="14" t="s">
        <v>81</v>
      </c>
      <c r="E201" s="14" t="n">
        <v>5</v>
      </c>
      <c r="F201" s="14" t="n">
        <v>10</v>
      </c>
      <c r="G201" s="16" t="n">
        <v>5921269</v>
      </c>
      <c r="H201" s="16" t="n">
        <v>2699617</v>
      </c>
      <c r="I201" s="14" t="s">
        <v>177</v>
      </c>
    </row>
    <row r="202" customFormat="false" ht="15" hidden="false" customHeight="false" outlineLevel="0" collapsed="false">
      <c r="A202" s="14" t="s">
        <v>12</v>
      </c>
      <c r="B202" s="15" t="n">
        <v>46161</v>
      </c>
      <c r="C202" s="14" t="s">
        <v>38</v>
      </c>
      <c r="D202" s="14"/>
      <c r="E202" s="14" t="n">
        <v>6</v>
      </c>
      <c r="F202" s="14" t="n">
        <v>1</v>
      </c>
      <c r="G202" s="16" t="n">
        <v>30957771</v>
      </c>
      <c r="H202" s="16" t="n">
        <v>18158254</v>
      </c>
      <c r="I202" s="14" t="s">
        <v>178</v>
      </c>
    </row>
    <row r="203" customFormat="false" ht="15" hidden="false" customHeight="false" outlineLevel="0" collapsed="false">
      <c r="A203" s="14" t="s">
        <v>12</v>
      </c>
      <c r="B203" s="15" t="n">
        <v>46161</v>
      </c>
      <c r="C203" s="14" t="s">
        <v>34</v>
      </c>
      <c r="D203" s="14"/>
      <c r="E203" s="14" t="n">
        <v>6</v>
      </c>
      <c r="F203" s="14" t="n">
        <v>2</v>
      </c>
      <c r="G203" s="16" t="n">
        <v>28340598</v>
      </c>
      <c r="H203" s="16" t="n">
        <v>13196099</v>
      </c>
      <c r="I203" s="14" t="s">
        <v>59</v>
      </c>
    </row>
    <row r="204" customFormat="false" ht="15" hidden="false" customHeight="false" outlineLevel="0" collapsed="false">
      <c r="A204" s="14" t="s">
        <v>12</v>
      </c>
      <c r="B204" s="15" t="n">
        <v>46161</v>
      </c>
      <c r="C204" s="14" t="s">
        <v>32</v>
      </c>
      <c r="D204" s="14"/>
      <c r="E204" s="14" t="n">
        <v>6</v>
      </c>
      <c r="F204" s="14" t="n">
        <v>3</v>
      </c>
      <c r="G204" s="16" t="n">
        <v>26821861</v>
      </c>
      <c r="H204" s="16" t="n">
        <v>14331115</v>
      </c>
      <c r="I204" s="14" t="s">
        <v>106</v>
      </c>
    </row>
    <row r="205" customFormat="false" ht="15" hidden="false" customHeight="false" outlineLevel="0" collapsed="false">
      <c r="A205" s="14" t="s">
        <v>12</v>
      </c>
      <c r="B205" s="15" t="n">
        <v>46161</v>
      </c>
      <c r="C205" s="14" t="s">
        <v>40</v>
      </c>
      <c r="D205" s="14"/>
      <c r="E205" s="14" t="n">
        <v>6</v>
      </c>
      <c r="F205" s="14" t="n">
        <v>4</v>
      </c>
      <c r="G205" s="16" t="n">
        <v>25496316</v>
      </c>
      <c r="H205" s="16" t="n">
        <v>14205046</v>
      </c>
      <c r="I205" s="14" t="s">
        <v>68</v>
      </c>
    </row>
    <row r="206" customFormat="false" ht="15" hidden="false" customHeight="false" outlineLevel="0" collapsed="false">
      <c r="A206" s="14" t="s">
        <v>12</v>
      </c>
      <c r="B206" s="15" t="n">
        <v>46161</v>
      </c>
      <c r="C206" s="14" t="s">
        <v>44</v>
      </c>
      <c r="D206" s="14"/>
      <c r="E206" s="14" t="n">
        <v>6</v>
      </c>
      <c r="F206" s="14" t="n">
        <v>5</v>
      </c>
      <c r="G206" s="16" t="n">
        <v>17362111</v>
      </c>
      <c r="H206" s="16" t="n">
        <v>10339885</v>
      </c>
      <c r="I206" s="14" t="s">
        <v>121</v>
      </c>
    </row>
    <row r="207" customFormat="false" ht="15" hidden="false" customHeight="false" outlineLevel="0" collapsed="false">
      <c r="A207" s="14" t="s">
        <v>12</v>
      </c>
      <c r="B207" s="15" t="n">
        <v>46161</v>
      </c>
      <c r="C207" s="14" t="s">
        <v>136</v>
      </c>
      <c r="D207" s="14"/>
      <c r="E207" s="14" t="n">
        <v>4</v>
      </c>
      <c r="F207" s="14" t="n">
        <v>6</v>
      </c>
      <c r="G207" s="16" t="n">
        <v>16263054</v>
      </c>
      <c r="H207" s="16" t="n">
        <v>7056078</v>
      </c>
      <c r="I207" s="14" t="s">
        <v>72</v>
      </c>
    </row>
    <row r="208" customFormat="false" ht="15" hidden="false" customHeight="false" outlineLevel="0" collapsed="false">
      <c r="A208" s="14" t="s">
        <v>12</v>
      </c>
      <c r="B208" s="15" t="n">
        <v>46161</v>
      </c>
      <c r="C208" s="14" t="s">
        <v>114</v>
      </c>
      <c r="D208" s="14"/>
      <c r="E208" s="14" t="n">
        <v>2</v>
      </c>
      <c r="F208" s="14" t="n">
        <v>7</v>
      </c>
      <c r="G208" s="16" t="n">
        <v>12676117</v>
      </c>
      <c r="H208" s="16" t="n">
        <v>6955380</v>
      </c>
      <c r="I208" s="14" t="s">
        <v>121</v>
      </c>
    </row>
    <row r="209" customFormat="false" ht="15" hidden="false" customHeight="false" outlineLevel="0" collapsed="false">
      <c r="A209" s="14" t="s">
        <v>12</v>
      </c>
      <c r="B209" s="15" t="n">
        <v>46161</v>
      </c>
      <c r="C209" s="14" t="s">
        <v>46</v>
      </c>
      <c r="D209" s="14"/>
      <c r="E209" s="14" t="n">
        <v>6</v>
      </c>
      <c r="F209" s="14" t="n">
        <v>8</v>
      </c>
      <c r="G209" s="16" t="n">
        <v>10895895</v>
      </c>
      <c r="H209" s="16" t="n">
        <v>6231164</v>
      </c>
      <c r="I209" s="14" t="s">
        <v>109</v>
      </c>
    </row>
    <row r="210" customFormat="false" ht="15" hidden="false" customHeight="false" outlineLevel="0" collapsed="false">
      <c r="A210" s="14" t="s">
        <v>12</v>
      </c>
      <c r="B210" s="15" t="n">
        <v>46161</v>
      </c>
      <c r="C210" s="14" t="s">
        <v>48</v>
      </c>
      <c r="D210" s="14"/>
      <c r="E210" s="14" t="n">
        <v>6</v>
      </c>
      <c r="F210" s="14" t="n">
        <v>9</v>
      </c>
      <c r="G210" s="16" t="n">
        <v>8803660</v>
      </c>
      <c r="H210" s="16" t="n">
        <v>4363410</v>
      </c>
      <c r="I210" s="14" t="s">
        <v>128</v>
      </c>
    </row>
    <row r="211" customFormat="false" ht="15" hidden="false" customHeight="false" outlineLevel="0" collapsed="false">
      <c r="A211" s="14" t="s">
        <v>12</v>
      </c>
      <c r="B211" s="15" t="n">
        <v>46161</v>
      </c>
      <c r="C211" s="14" t="s">
        <v>50</v>
      </c>
      <c r="D211" s="14"/>
      <c r="E211" s="14" t="n">
        <v>1</v>
      </c>
      <c r="F211" s="14" t="n">
        <v>10</v>
      </c>
      <c r="G211" s="16" t="n">
        <v>7611733</v>
      </c>
      <c r="H211" s="16" t="n">
        <v>4211073</v>
      </c>
      <c r="I211" s="14" t="s">
        <v>41</v>
      </c>
    </row>
    <row r="212" customFormat="false" ht="15" hidden="false" customHeight="false" outlineLevel="0" collapsed="false">
      <c r="A212" s="14" t="s">
        <v>13</v>
      </c>
      <c r="B212" s="15" t="n">
        <v>46161</v>
      </c>
      <c r="C212" s="14" t="s">
        <v>52</v>
      </c>
      <c r="D212" s="14"/>
      <c r="E212" s="14" t="n">
        <v>6</v>
      </c>
      <c r="F212" s="14" t="n">
        <v>1</v>
      </c>
      <c r="G212" s="16" t="n">
        <v>29711102</v>
      </c>
      <c r="H212" s="16" t="n">
        <v>16482319</v>
      </c>
      <c r="I212" s="14" t="s">
        <v>140</v>
      </c>
    </row>
    <row r="213" customFormat="false" ht="15" hidden="false" customHeight="false" outlineLevel="0" collapsed="false">
      <c r="A213" s="14" t="s">
        <v>13</v>
      </c>
      <c r="B213" s="15" t="n">
        <v>46161</v>
      </c>
      <c r="C213" s="14" t="s">
        <v>60</v>
      </c>
      <c r="D213" s="14"/>
      <c r="E213" s="14" t="n">
        <v>1</v>
      </c>
      <c r="F213" s="14" t="n">
        <v>2</v>
      </c>
      <c r="G213" s="16" t="n">
        <v>24231380</v>
      </c>
      <c r="H213" s="16" t="n">
        <v>10620594</v>
      </c>
      <c r="I213" s="14" t="s">
        <v>59</v>
      </c>
    </row>
    <row r="214" customFormat="false" ht="15" hidden="false" customHeight="false" outlineLevel="0" collapsed="false">
      <c r="A214" s="14" t="s">
        <v>13</v>
      </c>
      <c r="B214" s="15" t="n">
        <v>46161</v>
      </c>
      <c r="C214" s="14" t="s">
        <v>62</v>
      </c>
      <c r="D214" s="14"/>
      <c r="E214" s="14" t="n">
        <v>2</v>
      </c>
      <c r="F214" s="14" t="n">
        <v>3</v>
      </c>
      <c r="G214" s="16" t="n">
        <v>22383208</v>
      </c>
      <c r="H214" s="16" t="n">
        <v>10826835</v>
      </c>
      <c r="I214" s="14" t="s">
        <v>115</v>
      </c>
    </row>
    <row r="215" customFormat="false" ht="15" hidden="false" customHeight="false" outlineLevel="0" collapsed="false">
      <c r="A215" s="14" t="s">
        <v>13</v>
      </c>
      <c r="B215" s="15" t="n">
        <v>46161</v>
      </c>
      <c r="C215" s="14" t="s">
        <v>142</v>
      </c>
      <c r="D215" s="14"/>
      <c r="E215" s="14" t="n">
        <v>4</v>
      </c>
      <c r="F215" s="14" t="n">
        <v>4</v>
      </c>
      <c r="G215" s="16" t="n">
        <v>22043966</v>
      </c>
      <c r="H215" s="16" t="n">
        <v>12001116</v>
      </c>
      <c r="I215" s="14" t="s">
        <v>110</v>
      </c>
    </row>
    <row r="216" customFormat="false" ht="15" hidden="false" customHeight="false" outlineLevel="0" collapsed="false">
      <c r="A216" s="14" t="s">
        <v>13</v>
      </c>
      <c r="B216" s="15" t="n">
        <v>46161</v>
      </c>
      <c r="C216" s="14" t="s">
        <v>58</v>
      </c>
      <c r="D216" s="14"/>
      <c r="E216" s="14" t="n">
        <v>6</v>
      </c>
      <c r="F216" s="14" t="n">
        <v>5</v>
      </c>
      <c r="G216" s="16" t="n">
        <v>18667273</v>
      </c>
      <c r="H216" s="16" t="n">
        <v>9840407</v>
      </c>
      <c r="I216" s="14" t="s">
        <v>119</v>
      </c>
    </row>
    <row r="217" customFormat="false" ht="15" hidden="false" customHeight="false" outlineLevel="0" collapsed="false">
      <c r="A217" s="14" t="s">
        <v>13</v>
      </c>
      <c r="B217" s="15" t="n">
        <v>46161</v>
      </c>
      <c r="C217" s="14" t="s">
        <v>65</v>
      </c>
      <c r="D217" s="14"/>
      <c r="E217" s="14" t="n">
        <v>6</v>
      </c>
      <c r="F217" s="14" t="n">
        <v>6</v>
      </c>
      <c r="G217" s="16" t="n">
        <v>15121760</v>
      </c>
      <c r="H217" s="16" t="n">
        <v>6848586</v>
      </c>
      <c r="I217" s="14" t="s">
        <v>130</v>
      </c>
    </row>
    <row r="218" customFormat="false" ht="15" hidden="false" customHeight="false" outlineLevel="0" collapsed="false">
      <c r="A218" s="14" t="s">
        <v>13</v>
      </c>
      <c r="B218" s="15" t="n">
        <v>46161</v>
      </c>
      <c r="C218" s="14" t="s">
        <v>54</v>
      </c>
      <c r="D218" s="14"/>
      <c r="E218" s="14" t="n">
        <v>6</v>
      </c>
      <c r="F218" s="14" t="n">
        <v>7</v>
      </c>
      <c r="G218" s="16" t="n">
        <v>13668440</v>
      </c>
      <c r="H218" s="16" t="n">
        <v>6162833</v>
      </c>
      <c r="I218" s="14" t="s">
        <v>145</v>
      </c>
    </row>
    <row r="219" customFormat="false" ht="15" hidden="false" customHeight="false" outlineLevel="0" collapsed="false">
      <c r="A219" s="14" t="s">
        <v>13</v>
      </c>
      <c r="B219" s="15" t="n">
        <v>46161</v>
      </c>
      <c r="C219" s="14" t="s">
        <v>67</v>
      </c>
      <c r="D219" s="14"/>
      <c r="E219" s="14" t="n">
        <v>6</v>
      </c>
      <c r="F219" s="14" t="n">
        <v>8</v>
      </c>
      <c r="G219" s="16" t="n">
        <v>10329303</v>
      </c>
      <c r="H219" s="16" t="n">
        <v>4389412</v>
      </c>
      <c r="I219" s="14" t="s">
        <v>179</v>
      </c>
    </row>
    <row r="220" customFormat="false" ht="15" hidden="false" customHeight="false" outlineLevel="0" collapsed="false">
      <c r="A220" s="14" t="s">
        <v>13</v>
      </c>
      <c r="B220" s="15" t="n">
        <v>46161</v>
      </c>
      <c r="C220" s="14" t="s">
        <v>144</v>
      </c>
      <c r="D220" s="14"/>
      <c r="E220" s="14" t="n">
        <v>4</v>
      </c>
      <c r="F220" s="14" t="n">
        <v>9</v>
      </c>
      <c r="G220" s="16" t="n">
        <v>8824566</v>
      </c>
      <c r="H220" s="16" t="n">
        <v>5201556</v>
      </c>
      <c r="I220" s="14" t="s">
        <v>33</v>
      </c>
    </row>
    <row r="221" customFormat="false" ht="15" hidden="false" customHeight="false" outlineLevel="0" collapsed="false">
      <c r="A221" s="14" t="s">
        <v>13</v>
      </c>
      <c r="B221" s="15" t="n">
        <v>46161</v>
      </c>
      <c r="C221" s="14" t="s">
        <v>69</v>
      </c>
      <c r="D221" s="14"/>
      <c r="E221" s="14" t="n">
        <v>3</v>
      </c>
      <c r="F221" s="14" t="n">
        <v>10</v>
      </c>
      <c r="G221" s="16" t="n">
        <v>7288836</v>
      </c>
      <c r="H221" s="16" t="n">
        <v>4337775</v>
      </c>
      <c r="I221" s="14" t="s">
        <v>164</v>
      </c>
    </row>
    <row r="222" customFormat="false" ht="15" hidden="false" customHeight="false" outlineLevel="0" collapsed="false">
      <c r="A222" s="14" t="s">
        <v>14</v>
      </c>
      <c r="B222" s="15" t="n">
        <v>46161</v>
      </c>
      <c r="C222" s="14" t="s">
        <v>80</v>
      </c>
      <c r="D222" s="14" t="s">
        <v>81</v>
      </c>
      <c r="E222" s="14" t="n">
        <v>6</v>
      </c>
      <c r="F222" s="14" t="n">
        <v>1</v>
      </c>
      <c r="G222" s="16" t="n">
        <v>27663928</v>
      </c>
      <c r="H222" s="16" t="n">
        <v>13932103</v>
      </c>
      <c r="I222" s="14" t="s">
        <v>119</v>
      </c>
    </row>
    <row r="223" customFormat="false" ht="15" hidden="false" customHeight="false" outlineLevel="0" collapsed="false">
      <c r="A223" s="14" t="s">
        <v>14</v>
      </c>
      <c r="B223" s="15" t="n">
        <v>46161</v>
      </c>
      <c r="C223" s="14" t="s">
        <v>73</v>
      </c>
      <c r="D223" s="14" t="s">
        <v>71</v>
      </c>
      <c r="E223" s="14" t="n">
        <v>6</v>
      </c>
      <c r="F223" s="14" t="n">
        <v>2</v>
      </c>
      <c r="G223" s="16" t="n">
        <v>25557928</v>
      </c>
      <c r="H223" s="16" t="n">
        <v>14766015</v>
      </c>
      <c r="I223" s="14" t="s">
        <v>180</v>
      </c>
    </row>
    <row r="224" customFormat="false" ht="15" hidden="false" customHeight="false" outlineLevel="0" collapsed="false">
      <c r="A224" s="14" t="s">
        <v>14</v>
      </c>
      <c r="B224" s="15" t="n">
        <v>46161</v>
      </c>
      <c r="C224" s="14" t="s">
        <v>125</v>
      </c>
      <c r="D224" s="14" t="s">
        <v>76</v>
      </c>
      <c r="E224" s="14" t="n">
        <v>5</v>
      </c>
      <c r="F224" s="14" t="n">
        <v>3</v>
      </c>
      <c r="G224" s="16" t="n">
        <v>24784430</v>
      </c>
      <c r="H224" s="16" t="n">
        <v>14032837</v>
      </c>
      <c r="I224" s="14" t="s">
        <v>59</v>
      </c>
    </row>
    <row r="225" customFormat="false" ht="15" hidden="false" customHeight="false" outlineLevel="0" collapsed="false">
      <c r="A225" s="14" t="s">
        <v>14</v>
      </c>
      <c r="B225" s="15" t="n">
        <v>46161</v>
      </c>
      <c r="C225" s="14" t="s">
        <v>70</v>
      </c>
      <c r="D225" s="14" t="s">
        <v>76</v>
      </c>
      <c r="E225" s="14" t="n">
        <v>2</v>
      </c>
      <c r="F225" s="14" t="n">
        <v>4</v>
      </c>
      <c r="G225" s="16" t="n">
        <v>24500292</v>
      </c>
      <c r="H225" s="16" t="n">
        <v>15085981</v>
      </c>
      <c r="I225" s="14" t="s">
        <v>149</v>
      </c>
    </row>
    <row r="226" customFormat="false" ht="15" hidden="false" customHeight="false" outlineLevel="0" collapsed="false">
      <c r="A226" s="14" t="s">
        <v>14</v>
      </c>
      <c r="B226" s="15" t="n">
        <v>46161</v>
      </c>
      <c r="C226" s="14" t="s">
        <v>75</v>
      </c>
      <c r="D226" s="14" t="s">
        <v>76</v>
      </c>
      <c r="E226" s="14" t="n">
        <v>6</v>
      </c>
      <c r="F226" s="14" t="n">
        <v>5</v>
      </c>
      <c r="G226" s="16" t="n">
        <v>20811143</v>
      </c>
      <c r="H226" s="16" t="n">
        <v>8918505</v>
      </c>
      <c r="I226" s="14" t="s">
        <v>39</v>
      </c>
    </row>
    <row r="227" customFormat="false" ht="15" hidden="false" customHeight="false" outlineLevel="0" collapsed="false">
      <c r="A227" s="14" t="s">
        <v>14</v>
      </c>
      <c r="B227" s="15" t="n">
        <v>46161</v>
      </c>
      <c r="C227" s="14" t="s">
        <v>82</v>
      </c>
      <c r="D227" s="14" t="s">
        <v>71</v>
      </c>
      <c r="E227" s="14" t="n">
        <v>1</v>
      </c>
      <c r="F227" s="14" t="n">
        <v>6</v>
      </c>
      <c r="G227" s="16" t="n">
        <v>16868742</v>
      </c>
      <c r="H227" s="16" t="n">
        <v>8084694</v>
      </c>
      <c r="I227" s="14" t="s">
        <v>89</v>
      </c>
    </row>
    <row r="228" customFormat="false" ht="15" hidden="false" customHeight="false" outlineLevel="0" collapsed="false">
      <c r="A228" s="14" t="s">
        <v>14</v>
      </c>
      <c r="B228" s="15" t="n">
        <v>46161</v>
      </c>
      <c r="C228" s="14" t="s">
        <v>84</v>
      </c>
      <c r="D228" s="14" t="s">
        <v>71</v>
      </c>
      <c r="E228" s="14" t="n">
        <v>6</v>
      </c>
      <c r="F228" s="14" t="n">
        <v>7</v>
      </c>
      <c r="G228" s="16" t="n">
        <v>15993973</v>
      </c>
      <c r="H228" s="16" t="n">
        <v>8328628</v>
      </c>
      <c r="I228" s="14" t="s">
        <v>117</v>
      </c>
    </row>
    <row r="229" customFormat="false" ht="15" hidden="false" customHeight="false" outlineLevel="0" collapsed="false">
      <c r="A229" s="14" t="s">
        <v>14</v>
      </c>
      <c r="B229" s="15" t="n">
        <v>46161</v>
      </c>
      <c r="C229" s="14" t="s">
        <v>86</v>
      </c>
      <c r="D229" s="14" t="s">
        <v>81</v>
      </c>
      <c r="E229" s="14" t="n">
        <v>6</v>
      </c>
      <c r="F229" s="14" t="n">
        <v>8</v>
      </c>
      <c r="G229" s="16" t="n">
        <v>10974866</v>
      </c>
      <c r="H229" s="16" t="n">
        <v>6272100</v>
      </c>
      <c r="I229" s="14" t="s">
        <v>119</v>
      </c>
    </row>
    <row r="230" customFormat="false" ht="15" hidden="false" customHeight="false" outlineLevel="0" collapsed="false">
      <c r="A230" s="14" t="s">
        <v>14</v>
      </c>
      <c r="B230" s="15" t="n">
        <v>46161</v>
      </c>
      <c r="C230" s="14" t="s">
        <v>88</v>
      </c>
      <c r="D230" s="14" t="s">
        <v>81</v>
      </c>
      <c r="E230" s="14" t="n">
        <v>6</v>
      </c>
      <c r="F230" s="14" t="n">
        <v>9</v>
      </c>
      <c r="G230" s="16" t="n">
        <v>8139402</v>
      </c>
      <c r="H230" s="16" t="n">
        <v>3610057</v>
      </c>
      <c r="I230" s="14" t="s">
        <v>120</v>
      </c>
    </row>
    <row r="231" customFormat="false" ht="15" hidden="false" customHeight="false" outlineLevel="0" collapsed="false">
      <c r="A231" s="14" t="s">
        <v>14</v>
      </c>
      <c r="B231" s="15" t="n">
        <v>46161</v>
      </c>
      <c r="C231" s="14" t="s">
        <v>90</v>
      </c>
      <c r="D231" s="14" t="s">
        <v>76</v>
      </c>
      <c r="E231" s="14" t="n">
        <v>6</v>
      </c>
      <c r="F231" s="14" t="n">
        <v>10</v>
      </c>
      <c r="G231" s="16" t="n">
        <v>7960410</v>
      </c>
      <c r="H231" s="16" t="n">
        <v>4030572</v>
      </c>
      <c r="I231" s="14" t="s">
        <v>119</v>
      </c>
    </row>
    <row r="232" customFormat="false" ht="15" hidden="false" customHeight="false" outlineLevel="0" collapsed="false">
      <c r="A232" s="14" t="s">
        <v>15</v>
      </c>
      <c r="B232" s="15" t="n">
        <v>46161</v>
      </c>
      <c r="C232" s="14" t="s">
        <v>99</v>
      </c>
      <c r="D232" s="14" t="s">
        <v>71</v>
      </c>
      <c r="E232" s="14" t="n">
        <v>1</v>
      </c>
      <c r="F232" s="14" t="n">
        <v>1</v>
      </c>
      <c r="G232" s="16" t="n">
        <v>34171274</v>
      </c>
      <c r="H232" s="16" t="n">
        <v>15668110</v>
      </c>
      <c r="I232" s="14" t="s">
        <v>57</v>
      </c>
    </row>
    <row r="233" customFormat="false" ht="15" hidden="false" customHeight="false" outlineLevel="0" collapsed="false">
      <c r="A233" s="14" t="s">
        <v>15</v>
      </c>
      <c r="B233" s="15" t="n">
        <v>46161</v>
      </c>
      <c r="C233" s="14" t="s">
        <v>91</v>
      </c>
      <c r="D233" s="14" t="s">
        <v>71</v>
      </c>
      <c r="E233" s="14" t="n">
        <v>6</v>
      </c>
      <c r="F233" s="14" t="n">
        <v>2</v>
      </c>
      <c r="G233" s="16" t="n">
        <v>25345349</v>
      </c>
      <c r="H233" s="16" t="n">
        <v>11910626</v>
      </c>
      <c r="I233" s="14" t="s">
        <v>77</v>
      </c>
    </row>
    <row r="234" customFormat="false" ht="15" hidden="false" customHeight="false" outlineLevel="0" collapsed="false">
      <c r="A234" s="14" t="s">
        <v>15</v>
      </c>
      <c r="B234" s="15" t="n">
        <v>46161</v>
      </c>
      <c r="C234" s="14" t="s">
        <v>97</v>
      </c>
      <c r="D234" s="14" t="s">
        <v>81</v>
      </c>
      <c r="E234" s="14" t="n">
        <v>6</v>
      </c>
      <c r="F234" s="14" t="n">
        <v>3</v>
      </c>
      <c r="G234" s="16" t="n">
        <v>25165787</v>
      </c>
      <c r="H234" s="16" t="n">
        <v>12721383</v>
      </c>
      <c r="I234" s="14" t="s">
        <v>135</v>
      </c>
    </row>
    <row r="235" customFormat="false" ht="15" hidden="false" customHeight="false" outlineLevel="0" collapsed="false">
      <c r="A235" s="14" t="s">
        <v>15</v>
      </c>
      <c r="B235" s="15" t="n">
        <v>46161</v>
      </c>
      <c r="C235" s="14" t="s">
        <v>98</v>
      </c>
      <c r="D235" s="14" t="s">
        <v>76</v>
      </c>
      <c r="E235" s="14" t="n">
        <v>3</v>
      </c>
      <c r="F235" s="14" t="n">
        <v>4</v>
      </c>
      <c r="G235" s="16" t="n">
        <v>23045510</v>
      </c>
      <c r="H235" s="16" t="n">
        <v>12296375</v>
      </c>
      <c r="I235" s="14" t="s">
        <v>181</v>
      </c>
    </row>
    <row r="236" customFormat="false" ht="15" hidden="false" customHeight="false" outlineLevel="0" collapsed="false">
      <c r="A236" s="14" t="s">
        <v>15</v>
      </c>
      <c r="B236" s="15" t="n">
        <v>46161</v>
      </c>
      <c r="C236" s="14" t="s">
        <v>101</v>
      </c>
      <c r="D236" s="14" t="s">
        <v>81</v>
      </c>
      <c r="E236" s="14" t="n">
        <v>1</v>
      </c>
      <c r="F236" s="14" t="n">
        <v>5</v>
      </c>
      <c r="G236" s="16" t="n">
        <v>21209121</v>
      </c>
      <c r="H236" s="16" t="n">
        <v>9899354</v>
      </c>
      <c r="I236" s="14" t="s">
        <v>155</v>
      </c>
    </row>
    <row r="237" customFormat="false" ht="15" hidden="false" customHeight="false" outlineLevel="0" collapsed="false">
      <c r="A237" s="14" t="s">
        <v>15</v>
      </c>
      <c r="B237" s="15" t="n">
        <v>46161</v>
      </c>
      <c r="C237" s="14" t="s">
        <v>93</v>
      </c>
      <c r="D237" s="14" t="s">
        <v>71</v>
      </c>
      <c r="E237" s="14" t="n">
        <v>6</v>
      </c>
      <c r="F237" s="14" t="n">
        <v>6</v>
      </c>
      <c r="G237" s="16" t="n">
        <v>20695425</v>
      </c>
      <c r="H237" s="16" t="n">
        <v>12679443</v>
      </c>
      <c r="I237" s="14" t="s">
        <v>155</v>
      </c>
    </row>
    <row r="238" customFormat="false" ht="15" hidden="false" customHeight="false" outlineLevel="0" collapsed="false">
      <c r="A238" s="14" t="s">
        <v>15</v>
      </c>
      <c r="B238" s="15" t="n">
        <v>46161</v>
      </c>
      <c r="C238" s="14" t="s">
        <v>133</v>
      </c>
      <c r="D238" s="14" t="s">
        <v>81</v>
      </c>
      <c r="E238" s="14" t="n">
        <v>5</v>
      </c>
      <c r="F238" s="14" t="n">
        <v>7</v>
      </c>
      <c r="G238" s="16" t="n">
        <v>14599013</v>
      </c>
      <c r="H238" s="16" t="n">
        <v>6309021</v>
      </c>
      <c r="I238" s="14" t="s">
        <v>182</v>
      </c>
    </row>
    <row r="239" customFormat="false" ht="15" hidden="false" customHeight="false" outlineLevel="0" collapsed="false">
      <c r="A239" s="14" t="s">
        <v>15</v>
      </c>
      <c r="B239" s="15" t="n">
        <v>46161</v>
      </c>
      <c r="C239" s="14" t="s">
        <v>175</v>
      </c>
      <c r="D239" s="14" t="s">
        <v>71</v>
      </c>
      <c r="E239" s="14" t="n">
        <v>2</v>
      </c>
      <c r="F239" s="14" t="n">
        <v>8</v>
      </c>
      <c r="G239" s="16" t="n">
        <v>12400604</v>
      </c>
      <c r="H239" s="16" t="n">
        <v>5181066</v>
      </c>
      <c r="I239" s="14" t="s">
        <v>83</v>
      </c>
    </row>
    <row r="240" customFormat="false" ht="15" hidden="false" customHeight="false" outlineLevel="0" collapsed="false">
      <c r="A240" s="14" t="s">
        <v>15</v>
      </c>
      <c r="B240" s="15" t="n">
        <v>46161</v>
      </c>
      <c r="C240" s="14" t="s">
        <v>105</v>
      </c>
      <c r="D240" s="14" t="s">
        <v>76</v>
      </c>
      <c r="E240" s="14" t="n">
        <v>6</v>
      </c>
      <c r="F240" s="14" t="n">
        <v>9</v>
      </c>
      <c r="G240" s="16" t="n">
        <v>9506588</v>
      </c>
      <c r="H240" s="16" t="n">
        <v>4467388</v>
      </c>
      <c r="I240" s="14" t="s">
        <v>79</v>
      </c>
    </row>
    <row r="241" customFormat="false" ht="15" hidden="false" customHeight="false" outlineLevel="0" collapsed="false">
      <c r="A241" s="14" t="s">
        <v>15</v>
      </c>
      <c r="B241" s="15" t="n">
        <v>46161</v>
      </c>
      <c r="C241" s="14" t="s">
        <v>107</v>
      </c>
      <c r="D241" s="14" t="s">
        <v>71</v>
      </c>
      <c r="E241" s="14" t="n">
        <v>6</v>
      </c>
      <c r="F241" s="14" t="n">
        <v>10</v>
      </c>
      <c r="G241" s="16" t="n">
        <v>7241684</v>
      </c>
      <c r="H241" s="16" t="n">
        <v>3071075</v>
      </c>
      <c r="I241" s="14" t="s">
        <v>57</v>
      </c>
    </row>
    <row r="242" customFormat="false" ht="15" hidden="false" customHeight="false" outlineLevel="0" collapsed="false">
      <c r="A242" s="14" t="s">
        <v>12</v>
      </c>
      <c r="B242" s="15" t="n">
        <v>46168</v>
      </c>
      <c r="C242" s="14" t="s">
        <v>38</v>
      </c>
      <c r="D242" s="14"/>
      <c r="E242" s="14" t="n">
        <v>7</v>
      </c>
      <c r="F242" s="14" t="n">
        <v>1</v>
      </c>
      <c r="G242" s="16" t="n">
        <v>33513753</v>
      </c>
      <c r="H242" s="16" t="n">
        <v>18412915</v>
      </c>
      <c r="I242" s="14" t="s">
        <v>156</v>
      </c>
    </row>
    <row r="243" customFormat="false" ht="15" hidden="false" customHeight="false" outlineLevel="0" collapsed="false">
      <c r="A243" s="14" t="s">
        <v>12</v>
      </c>
      <c r="B243" s="15" t="n">
        <v>46168</v>
      </c>
      <c r="C243" s="14" t="s">
        <v>32</v>
      </c>
      <c r="D243" s="14"/>
      <c r="E243" s="14" t="n">
        <v>7</v>
      </c>
      <c r="F243" s="14" t="n">
        <v>2</v>
      </c>
      <c r="G243" s="16" t="n">
        <v>22876985</v>
      </c>
      <c r="H243" s="16" t="n">
        <v>12522868</v>
      </c>
      <c r="I243" s="14" t="s">
        <v>112</v>
      </c>
    </row>
    <row r="244" customFormat="false" ht="15" hidden="false" customHeight="false" outlineLevel="0" collapsed="false">
      <c r="A244" s="14" t="s">
        <v>12</v>
      </c>
      <c r="B244" s="15" t="n">
        <v>46168</v>
      </c>
      <c r="C244" s="14" t="s">
        <v>34</v>
      </c>
      <c r="D244" s="14"/>
      <c r="E244" s="14" t="n">
        <v>7</v>
      </c>
      <c r="F244" s="14" t="n">
        <v>3</v>
      </c>
      <c r="G244" s="16" t="n">
        <v>19952204</v>
      </c>
      <c r="H244" s="16" t="n">
        <v>9324378</v>
      </c>
      <c r="I244" s="14" t="s">
        <v>160</v>
      </c>
    </row>
    <row r="245" customFormat="false" ht="15" hidden="false" customHeight="false" outlineLevel="0" collapsed="false">
      <c r="A245" s="14" t="s">
        <v>12</v>
      </c>
      <c r="B245" s="15" t="n">
        <v>46168</v>
      </c>
      <c r="C245" s="14" t="s">
        <v>136</v>
      </c>
      <c r="D245" s="14"/>
      <c r="E245" s="14" t="n">
        <v>5</v>
      </c>
      <c r="F245" s="14" t="n">
        <v>4</v>
      </c>
      <c r="G245" s="16" t="n">
        <v>18810504</v>
      </c>
      <c r="H245" s="16" t="n">
        <v>10675546</v>
      </c>
      <c r="I245" s="14" t="s">
        <v>160</v>
      </c>
    </row>
    <row r="246" customFormat="false" ht="15" hidden="false" customHeight="false" outlineLevel="0" collapsed="false">
      <c r="A246" s="14" t="s">
        <v>12</v>
      </c>
      <c r="B246" s="15" t="n">
        <v>46168</v>
      </c>
      <c r="C246" s="14" t="s">
        <v>42</v>
      </c>
      <c r="D246" s="14"/>
      <c r="E246" s="14" t="n">
        <v>1</v>
      </c>
      <c r="F246" s="14" t="n">
        <v>5</v>
      </c>
      <c r="G246" s="16" t="n">
        <v>18623770</v>
      </c>
      <c r="H246" s="16" t="n">
        <v>9157745</v>
      </c>
      <c r="I246" s="14" t="s">
        <v>157</v>
      </c>
    </row>
    <row r="247" customFormat="false" ht="15" hidden="false" customHeight="false" outlineLevel="0" collapsed="false">
      <c r="A247" s="14" t="s">
        <v>12</v>
      </c>
      <c r="B247" s="15" t="n">
        <v>46168</v>
      </c>
      <c r="C247" s="14" t="s">
        <v>44</v>
      </c>
      <c r="D247" s="14"/>
      <c r="E247" s="14" t="n">
        <v>7</v>
      </c>
      <c r="F247" s="14" t="n">
        <v>6</v>
      </c>
      <c r="G247" s="16" t="n">
        <v>11607593</v>
      </c>
      <c r="H247" s="16" t="n">
        <v>4913603</v>
      </c>
      <c r="I247" s="14" t="s">
        <v>63</v>
      </c>
    </row>
    <row r="248" customFormat="false" ht="15" hidden="false" customHeight="false" outlineLevel="0" collapsed="false">
      <c r="A248" s="14" t="s">
        <v>12</v>
      </c>
      <c r="B248" s="15" t="n">
        <v>46168</v>
      </c>
      <c r="C248" s="14" t="s">
        <v>46</v>
      </c>
      <c r="D248" s="14"/>
      <c r="E248" s="14" t="n">
        <v>7</v>
      </c>
      <c r="F248" s="14" t="n">
        <v>7</v>
      </c>
      <c r="G248" s="16" t="n">
        <v>9858641</v>
      </c>
      <c r="H248" s="16" t="n">
        <v>4721461</v>
      </c>
      <c r="I248" s="14" t="s">
        <v>182</v>
      </c>
    </row>
    <row r="249" customFormat="false" ht="15" hidden="false" customHeight="false" outlineLevel="0" collapsed="false">
      <c r="A249" s="14" t="s">
        <v>12</v>
      </c>
      <c r="B249" s="15" t="n">
        <v>46168</v>
      </c>
      <c r="C249" s="14" t="s">
        <v>114</v>
      </c>
      <c r="D249" s="14"/>
      <c r="E249" s="14" t="n">
        <v>3</v>
      </c>
      <c r="F249" s="14" t="n">
        <v>8</v>
      </c>
      <c r="G249" s="16" t="n">
        <v>8612503</v>
      </c>
      <c r="H249" s="16" t="n">
        <v>4100444</v>
      </c>
      <c r="I249" s="14" t="s">
        <v>146</v>
      </c>
    </row>
    <row r="250" customFormat="false" ht="15" hidden="false" customHeight="false" outlineLevel="0" collapsed="false">
      <c r="A250" s="14" t="s">
        <v>12</v>
      </c>
      <c r="B250" s="15" t="n">
        <v>46168</v>
      </c>
      <c r="C250" s="14" t="s">
        <v>48</v>
      </c>
      <c r="D250" s="14"/>
      <c r="E250" s="14" t="n">
        <v>7</v>
      </c>
      <c r="F250" s="14" t="n">
        <v>9</v>
      </c>
      <c r="G250" s="16" t="n">
        <v>7702924</v>
      </c>
      <c r="H250" s="16" t="n">
        <v>4149403</v>
      </c>
      <c r="I250" s="14" t="s">
        <v>57</v>
      </c>
    </row>
    <row r="251" customFormat="false" ht="15" hidden="false" customHeight="false" outlineLevel="0" collapsed="false">
      <c r="A251" s="14" t="s">
        <v>12</v>
      </c>
      <c r="B251" s="15" t="n">
        <v>46168</v>
      </c>
      <c r="C251" s="14" t="s">
        <v>50</v>
      </c>
      <c r="D251" s="14"/>
      <c r="E251" s="14" t="n">
        <v>2</v>
      </c>
      <c r="F251" s="14" t="n">
        <v>10</v>
      </c>
      <c r="G251" s="16" t="n">
        <v>6645615</v>
      </c>
      <c r="H251" s="16" t="n">
        <v>3461724</v>
      </c>
      <c r="I251" s="14" t="s">
        <v>141</v>
      </c>
    </row>
    <row r="252" customFormat="false" ht="15" hidden="false" customHeight="false" outlineLevel="0" collapsed="false">
      <c r="A252" s="14" t="s">
        <v>13</v>
      </c>
      <c r="B252" s="15" t="n">
        <v>46168</v>
      </c>
      <c r="C252" s="14" t="s">
        <v>54</v>
      </c>
      <c r="D252" s="14"/>
      <c r="E252" s="14" t="n">
        <v>7</v>
      </c>
      <c r="F252" s="14" t="n">
        <v>1</v>
      </c>
      <c r="G252" s="16" t="n">
        <v>35809450</v>
      </c>
      <c r="H252" s="16" t="n">
        <v>19980933</v>
      </c>
      <c r="I252" s="14" t="s">
        <v>183</v>
      </c>
    </row>
    <row r="253" customFormat="false" ht="15" hidden="false" customHeight="false" outlineLevel="0" collapsed="false">
      <c r="A253" s="14" t="s">
        <v>13</v>
      </c>
      <c r="B253" s="15" t="n">
        <v>46168</v>
      </c>
      <c r="C253" s="14" t="s">
        <v>52</v>
      </c>
      <c r="D253" s="14"/>
      <c r="E253" s="14" t="n">
        <v>7</v>
      </c>
      <c r="F253" s="14" t="n">
        <v>2</v>
      </c>
      <c r="G253" s="16" t="n">
        <v>27204950</v>
      </c>
      <c r="H253" s="16" t="n">
        <v>14854273</v>
      </c>
      <c r="I253" s="14" t="s">
        <v>176</v>
      </c>
    </row>
    <row r="254" customFormat="false" ht="15" hidden="false" customHeight="false" outlineLevel="0" collapsed="false">
      <c r="A254" s="14" t="s">
        <v>13</v>
      </c>
      <c r="B254" s="15" t="n">
        <v>46168</v>
      </c>
      <c r="C254" s="14" t="s">
        <v>58</v>
      </c>
      <c r="D254" s="14"/>
      <c r="E254" s="14" t="n">
        <v>7</v>
      </c>
      <c r="F254" s="14" t="n">
        <v>3</v>
      </c>
      <c r="G254" s="16" t="n">
        <v>21368446</v>
      </c>
      <c r="H254" s="16" t="n">
        <v>11830302</v>
      </c>
      <c r="I254" s="14" t="s">
        <v>140</v>
      </c>
    </row>
    <row r="255" customFormat="false" ht="15" hidden="false" customHeight="false" outlineLevel="0" collapsed="false">
      <c r="A255" s="14" t="s">
        <v>13</v>
      </c>
      <c r="B255" s="15" t="n">
        <v>46168</v>
      </c>
      <c r="C255" s="14" t="s">
        <v>60</v>
      </c>
      <c r="D255" s="14"/>
      <c r="E255" s="14" t="n">
        <v>2</v>
      </c>
      <c r="F255" s="14" t="n">
        <v>4</v>
      </c>
      <c r="G255" s="16" t="n">
        <v>20308129</v>
      </c>
      <c r="H255" s="16" t="n">
        <v>10533338</v>
      </c>
      <c r="I255" s="14" t="s">
        <v>138</v>
      </c>
    </row>
    <row r="256" customFormat="false" ht="15" hidden="false" customHeight="false" outlineLevel="0" collapsed="false">
      <c r="A256" s="14" t="s">
        <v>13</v>
      </c>
      <c r="B256" s="15" t="n">
        <v>46168</v>
      </c>
      <c r="C256" s="14" t="s">
        <v>64</v>
      </c>
      <c r="D256" s="14"/>
      <c r="E256" s="14" t="n">
        <v>1</v>
      </c>
      <c r="F256" s="14" t="n">
        <v>5</v>
      </c>
      <c r="G256" s="16" t="n">
        <v>18678960</v>
      </c>
      <c r="H256" s="16" t="n">
        <v>10522852</v>
      </c>
      <c r="I256" s="14" t="s">
        <v>77</v>
      </c>
    </row>
    <row r="257" customFormat="false" ht="15" hidden="false" customHeight="false" outlineLevel="0" collapsed="false">
      <c r="A257" s="14" t="s">
        <v>13</v>
      </c>
      <c r="B257" s="15" t="n">
        <v>46168</v>
      </c>
      <c r="C257" s="14" t="s">
        <v>62</v>
      </c>
      <c r="D257" s="14"/>
      <c r="E257" s="14" t="n">
        <v>3</v>
      </c>
      <c r="F257" s="14" t="n">
        <v>6</v>
      </c>
      <c r="G257" s="16" t="n">
        <v>18251067</v>
      </c>
      <c r="H257" s="16" t="n">
        <v>7975275</v>
      </c>
      <c r="I257" s="14" t="s">
        <v>120</v>
      </c>
    </row>
    <row r="258" customFormat="false" ht="15" hidden="false" customHeight="false" outlineLevel="0" collapsed="false">
      <c r="A258" s="14" t="s">
        <v>13</v>
      </c>
      <c r="B258" s="15" t="n">
        <v>46168</v>
      </c>
      <c r="C258" s="14" t="s">
        <v>65</v>
      </c>
      <c r="D258" s="14"/>
      <c r="E258" s="14" t="n">
        <v>7</v>
      </c>
      <c r="F258" s="14" t="n">
        <v>7</v>
      </c>
      <c r="G258" s="16" t="n">
        <v>18133028</v>
      </c>
      <c r="H258" s="16" t="n">
        <v>10456377</v>
      </c>
      <c r="I258" s="14" t="s">
        <v>158</v>
      </c>
    </row>
    <row r="259" customFormat="false" ht="15" hidden="false" customHeight="false" outlineLevel="0" collapsed="false">
      <c r="A259" s="14" t="s">
        <v>13</v>
      </c>
      <c r="B259" s="15" t="n">
        <v>46168</v>
      </c>
      <c r="C259" s="14" t="s">
        <v>142</v>
      </c>
      <c r="D259" s="14"/>
      <c r="E259" s="14" t="n">
        <v>5</v>
      </c>
      <c r="F259" s="14" t="n">
        <v>8</v>
      </c>
      <c r="G259" s="16" t="n">
        <v>15223311</v>
      </c>
      <c r="H259" s="16" t="n">
        <v>8145582</v>
      </c>
      <c r="I259" s="14" t="s">
        <v>39</v>
      </c>
    </row>
    <row r="260" customFormat="false" ht="15" hidden="false" customHeight="false" outlineLevel="0" collapsed="false">
      <c r="A260" s="14" t="s">
        <v>13</v>
      </c>
      <c r="B260" s="15" t="n">
        <v>46168</v>
      </c>
      <c r="C260" s="14" t="s">
        <v>69</v>
      </c>
      <c r="D260" s="14"/>
      <c r="E260" s="14" t="n">
        <v>4</v>
      </c>
      <c r="F260" s="14" t="n">
        <v>9</v>
      </c>
      <c r="G260" s="16" t="n">
        <v>9961028</v>
      </c>
      <c r="H260" s="16" t="n">
        <v>4450844</v>
      </c>
      <c r="I260" s="14" t="s">
        <v>112</v>
      </c>
    </row>
    <row r="261" customFormat="false" ht="15" hidden="false" customHeight="false" outlineLevel="0" collapsed="false">
      <c r="A261" s="14" t="s">
        <v>13</v>
      </c>
      <c r="B261" s="15" t="n">
        <v>46168</v>
      </c>
      <c r="C261" s="14" t="s">
        <v>144</v>
      </c>
      <c r="D261" s="14"/>
      <c r="E261" s="14" t="n">
        <v>5</v>
      </c>
      <c r="F261" s="14" t="n">
        <v>10</v>
      </c>
      <c r="G261" s="16" t="n">
        <v>8595496</v>
      </c>
      <c r="H261" s="16" t="n">
        <v>5024656</v>
      </c>
      <c r="I261" s="14" t="s">
        <v>119</v>
      </c>
    </row>
    <row r="262" customFormat="false" ht="15" hidden="false" customHeight="false" outlineLevel="0" collapsed="false">
      <c r="A262" s="14" t="s">
        <v>14</v>
      </c>
      <c r="B262" s="15" t="n">
        <v>46168</v>
      </c>
      <c r="C262" s="14" t="s">
        <v>70</v>
      </c>
      <c r="D262" s="14" t="s">
        <v>71</v>
      </c>
      <c r="E262" s="14" t="n">
        <v>3</v>
      </c>
      <c r="F262" s="14" t="n">
        <v>1</v>
      </c>
      <c r="G262" s="16" t="n">
        <v>31216991</v>
      </c>
      <c r="H262" s="16" t="n">
        <v>13009586</v>
      </c>
      <c r="I262" s="14" t="s">
        <v>184</v>
      </c>
    </row>
    <row r="263" customFormat="false" ht="15" hidden="false" customHeight="false" outlineLevel="0" collapsed="false">
      <c r="A263" s="14" t="s">
        <v>14</v>
      </c>
      <c r="B263" s="15" t="n">
        <v>46168</v>
      </c>
      <c r="C263" s="14" t="s">
        <v>80</v>
      </c>
      <c r="D263" s="14" t="s">
        <v>81</v>
      </c>
      <c r="E263" s="14" t="n">
        <v>7</v>
      </c>
      <c r="F263" s="14" t="n">
        <v>2</v>
      </c>
      <c r="G263" s="16" t="n">
        <v>26582144</v>
      </c>
      <c r="H263" s="16" t="n">
        <v>15858960</v>
      </c>
      <c r="I263" s="14" t="s">
        <v>35</v>
      </c>
    </row>
    <row r="264" customFormat="false" ht="15" hidden="false" customHeight="false" outlineLevel="0" collapsed="false">
      <c r="A264" s="14" t="s">
        <v>14</v>
      </c>
      <c r="B264" s="15" t="n">
        <v>46168</v>
      </c>
      <c r="C264" s="14" t="s">
        <v>125</v>
      </c>
      <c r="D264" s="14" t="s">
        <v>76</v>
      </c>
      <c r="E264" s="14" t="n">
        <v>6</v>
      </c>
      <c r="F264" s="14" t="n">
        <v>3</v>
      </c>
      <c r="G264" s="16" t="n">
        <v>24795522</v>
      </c>
      <c r="H264" s="16" t="n">
        <v>10412462</v>
      </c>
      <c r="I264" s="14" t="s">
        <v>123</v>
      </c>
    </row>
    <row r="265" customFormat="false" ht="15" hidden="false" customHeight="false" outlineLevel="0" collapsed="false">
      <c r="A265" s="14" t="s">
        <v>14</v>
      </c>
      <c r="B265" s="15" t="n">
        <v>46168</v>
      </c>
      <c r="C265" s="14" t="s">
        <v>78</v>
      </c>
      <c r="D265" s="14" t="s">
        <v>71</v>
      </c>
      <c r="E265" s="14" t="n">
        <v>1</v>
      </c>
      <c r="F265" s="14" t="n">
        <v>4</v>
      </c>
      <c r="G265" s="16" t="n">
        <v>17029714</v>
      </c>
      <c r="H265" s="16" t="n">
        <v>8649059</v>
      </c>
      <c r="I265" s="14" t="s">
        <v>74</v>
      </c>
    </row>
    <row r="266" customFormat="false" ht="15" hidden="false" customHeight="false" outlineLevel="0" collapsed="false">
      <c r="A266" s="14" t="s">
        <v>14</v>
      </c>
      <c r="B266" s="15" t="n">
        <v>46168</v>
      </c>
      <c r="C266" s="14" t="s">
        <v>75</v>
      </c>
      <c r="D266" s="14" t="s">
        <v>81</v>
      </c>
      <c r="E266" s="14" t="n">
        <v>7</v>
      </c>
      <c r="F266" s="14" t="n">
        <v>5</v>
      </c>
      <c r="G266" s="16" t="n">
        <v>16053965</v>
      </c>
      <c r="H266" s="16" t="n">
        <v>9782231</v>
      </c>
      <c r="I266" s="14" t="s">
        <v>158</v>
      </c>
    </row>
    <row r="267" customFormat="false" ht="15" hidden="false" customHeight="false" outlineLevel="0" collapsed="false">
      <c r="A267" s="14" t="s">
        <v>14</v>
      </c>
      <c r="B267" s="15" t="n">
        <v>46168</v>
      </c>
      <c r="C267" s="14" t="s">
        <v>84</v>
      </c>
      <c r="D267" s="14" t="s">
        <v>81</v>
      </c>
      <c r="E267" s="14" t="n">
        <v>7</v>
      </c>
      <c r="F267" s="14" t="n">
        <v>6</v>
      </c>
      <c r="G267" s="16" t="n">
        <v>14878084</v>
      </c>
      <c r="H267" s="16" t="n">
        <v>7902650</v>
      </c>
      <c r="I267" s="14" t="s">
        <v>123</v>
      </c>
    </row>
    <row r="268" customFormat="false" ht="15" hidden="false" customHeight="false" outlineLevel="0" collapsed="false">
      <c r="A268" s="14" t="s">
        <v>14</v>
      </c>
      <c r="B268" s="15" t="n">
        <v>46168</v>
      </c>
      <c r="C268" s="14" t="s">
        <v>73</v>
      </c>
      <c r="D268" s="14" t="s">
        <v>81</v>
      </c>
      <c r="E268" s="14" t="n">
        <v>7</v>
      </c>
      <c r="F268" s="14" t="n">
        <v>7</v>
      </c>
      <c r="G268" s="16" t="n">
        <v>13786010</v>
      </c>
      <c r="H268" s="16" t="n">
        <v>6084668</v>
      </c>
      <c r="I268" s="14" t="s">
        <v>96</v>
      </c>
    </row>
    <row r="269" customFormat="false" ht="15" hidden="false" customHeight="false" outlineLevel="0" collapsed="false">
      <c r="A269" s="14" t="s">
        <v>14</v>
      </c>
      <c r="B269" s="15" t="n">
        <v>46168</v>
      </c>
      <c r="C269" s="14" t="s">
        <v>86</v>
      </c>
      <c r="D269" s="14" t="s">
        <v>76</v>
      </c>
      <c r="E269" s="14" t="n">
        <v>7</v>
      </c>
      <c r="F269" s="14" t="n">
        <v>8</v>
      </c>
      <c r="G269" s="16" t="n">
        <v>10224789</v>
      </c>
      <c r="H269" s="16" t="n">
        <v>5288685</v>
      </c>
      <c r="I269" s="14" t="s">
        <v>159</v>
      </c>
    </row>
    <row r="270" customFormat="false" ht="15" hidden="false" customHeight="false" outlineLevel="0" collapsed="false">
      <c r="A270" s="14" t="s">
        <v>14</v>
      </c>
      <c r="B270" s="15" t="n">
        <v>46168</v>
      </c>
      <c r="C270" s="14" t="s">
        <v>88</v>
      </c>
      <c r="D270" s="14" t="s">
        <v>81</v>
      </c>
      <c r="E270" s="14" t="n">
        <v>7</v>
      </c>
      <c r="F270" s="14" t="n">
        <v>9</v>
      </c>
      <c r="G270" s="16" t="n">
        <v>8417211</v>
      </c>
      <c r="H270" s="16" t="n">
        <v>3827646</v>
      </c>
      <c r="I270" s="14" t="s">
        <v>57</v>
      </c>
    </row>
    <row r="271" customFormat="false" ht="15" hidden="false" customHeight="false" outlineLevel="0" collapsed="false">
      <c r="A271" s="14" t="s">
        <v>14</v>
      </c>
      <c r="B271" s="15" t="n">
        <v>46168</v>
      </c>
      <c r="C271" s="14" t="s">
        <v>90</v>
      </c>
      <c r="D271" s="14" t="s">
        <v>81</v>
      </c>
      <c r="E271" s="14" t="n">
        <v>7</v>
      </c>
      <c r="F271" s="14" t="n">
        <v>10</v>
      </c>
      <c r="G271" s="16" t="n">
        <v>7607733</v>
      </c>
      <c r="H271" s="16" t="n">
        <v>3817215</v>
      </c>
      <c r="I271" s="14" t="s">
        <v>185</v>
      </c>
    </row>
    <row r="272" customFormat="false" ht="15" hidden="false" customHeight="false" outlineLevel="0" collapsed="false">
      <c r="A272" s="14" t="s">
        <v>15</v>
      </c>
      <c r="B272" s="15" t="n">
        <v>46168</v>
      </c>
      <c r="C272" s="14" t="s">
        <v>97</v>
      </c>
      <c r="D272" s="14" t="s">
        <v>71</v>
      </c>
      <c r="E272" s="14" t="n">
        <v>7</v>
      </c>
      <c r="F272" s="14" t="n">
        <v>1</v>
      </c>
      <c r="G272" s="16" t="n">
        <v>30211357</v>
      </c>
      <c r="H272" s="16" t="n">
        <v>13731106</v>
      </c>
      <c r="I272" s="14" t="s">
        <v>57</v>
      </c>
    </row>
    <row r="273" customFormat="false" ht="15" hidden="false" customHeight="false" outlineLevel="0" collapsed="false">
      <c r="A273" s="14" t="s">
        <v>15</v>
      </c>
      <c r="B273" s="15" t="n">
        <v>46168</v>
      </c>
      <c r="C273" s="14" t="s">
        <v>99</v>
      </c>
      <c r="D273" s="14" t="s">
        <v>76</v>
      </c>
      <c r="E273" s="14" t="n">
        <v>2</v>
      </c>
      <c r="F273" s="14" t="n">
        <v>2</v>
      </c>
      <c r="G273" s="16" t="n">
        <v>29622146</v>
      </c>
      <c r="H273" s="16" t="n">
        <v>15637321</v>
      </c>
      <c r="I273" s="14" t="s">
        <v>108</v>
      </c>
    </row>
    <row r="274" customFormat="false" ht="15" hidden="false" customHeight="false" outlineLevel="0" collapsed="false">
      <c r="A274" s="14" t="s">
        <v>15</v>
      </c>
      <c r="B274" s="15" t="n">
        <v>46168</v>
      </c>
      <c r="C274" s="14" t="s">
        <v>93</v>
      </c>
      <c r="D274" s="14" t="s">
        <v>81</v>
      </c>
      <c r="E274" s="14" t="n">
        <v>7</v>
      </c>
      <c r="F274" s="14" t="n">
        <v>3</v>
      </c>
      <c r="G274" s="16" t="n">
        <v>27618747</v>
      </c>
      <c r="H274" s="16" t="n">
        <v>15632927</v>
      </c>
      <c r="I274" s="14" t="s">
        <v>177</v>
      </c>
    </row>
    <row r="275" customFormat="false" ht="15" hidden="false" customHeight="false" outlineLevel="0" collapsed="false">
      <c r="A275" s="14" t="s">
        <v>15</v>
      </c>
      <c r="B275" s="15" t="n">
        <v>46168</v>
      </c>
      <c r="C275" s="14" t="s">
        <v>98</v>
      </c>
      <c r="D275" s="14" t="s">
        <v>76</v>
      </c>
      <c r="E275" s="14" t="n">
        <v>4</v>
      </c>
      <c r="F275" s="14" t="n">
        <v>4</v>
      </c>
      <c r="G275" s="16" t="n">
        <v>23315252</v>
      </c>
      <c r="H275" s="16" t="n">
        <v>13754269</v>
      </c>
      <c r="I275" s="14" t="s">
        <v>156</v>
      </c>
    </row>
    <row r="276" customFormat="false" ht="15" hidden="false" customHeight="false" outlineLevel="0" collapsed="false">
      <c r="A276" s="14" t="s">
        <v>15</v>
      </c>
      <c r="B276" s="15" t="n">
        <v>46168</v>
      </c>
      <c r="C276" s="14" t="s">
        <v>91</v>
      </c>
      <c r="D276" s="14" t="s">
        <v>76</v>
      </c>
      <c r="E276" s="14" t="n">
        <v>7</v>
      </c>
      <c r="F276" s="14" t="n">
        <v>5</v>
      </c>
      <c r="G276" s="16" t="n">
        <v>21732303</v>
      </c>
      <c r="H276" s="16" t="n">
        <v>12482418</v>
      </c>
      <c r="I276" s="14" t="s">
        <v>59</v>
      </c>
    </row>
    <row r="277" customFormat="false" ht="15" hidden="false" customHeight="false" outlineLevel="0" collapsed="false">
      <c r="A277" s="14" t="s">
        <v>15</v>
      </c>
      <c r="B277" s="15" t="n">
        <v>46168</v>
      </c>
      <c r="C277" s="14" t="s">
        <v>101</v>
      </c>
      <c r="D277" s="14" t="s">
        <v>71</v>
      </c>
      <c r="E277" s="14" t="n">
        <v>2</v>
      </c>
      <c r="F277" s="14" t="n">
        <v>6</v>
      </c>
      <c r="G277" s="16" t="n">
        <v>16098744</v>
      </c>
      <c r="H277" s="16" t="n">
        <v>7128112</v>
      </c>
      <c r="I277" s="14" t="s">
        <v>128</v>
      </c>
    </row>
    <row r="278" customFormat="false" ht="15" hidden="false" customHeight="false" outlineLevel="0" collapsed="false">
      <c r="A278" s="14" t="s">
        <v>15</v>
      </c>
      <c r="B278" s="15" t="n">
        <v>46168</v>
      </c>
      <c r="C278" s="14" t="s">
        <v>175</v>
      </c>
      <c r="D278" s="14" t="s">
        <v>76</v>
      </c>
      <c r="E278" s="14" t="n">
        <v>3</v>
      </c>
      <c r="F278" s="14" t="n">
        <v>7</v>
      </c>
      <c r="G278" s="16" t="n">
        <v>15574218</v>
      </c>
      <c r="H278" s="16" t="n">
        <v>6510114</v>
      </c>
      <c r="I278" s="14" t="s">
        <v>154</v>
      </c>
    </row>
    <row r="279" customFormat="false" ht="15" hidden="false" customHeight="false" outlineLevel="0" collapsed="false">
      <c r="A279" s="14" t="s">
        <v>15</v>
      </c>
      <c r="B279" s="15" t="n">
        <v>46168</v>
      </c>
      <c r="C279" s="14" t="s">
        <v>103</v>
      </c>
      <c r="D279" s="14" t="s">
        <v>71</v>
      </c>
      <c r="E279" s="14" t="n">
        <v>1</v>
      </c>
      <c r="F279" s="14" t="n">
        <v>8</v>
      </c>
      <c r="G279" s="16" t="n">
        <v>14009075</v>
      </c>
      <c r="H279" s="16" t="n">
        <v>6599239</v>
      </c>
      <c r="I279" s="14" t="s">
        <v>74</v>
      </c>
    </row>
    <row r="280" customFormat="false" ht="15" hidden="false" customHeight="false" outlineLevel="0" collapsed="false">
      <c r="A280" s="14" t="s">
        <v>15</v>
      </c>
      <c r="B280" s="15" t="n">
        <v>46168</v>
      </c>
      <c r="C280" s="14" t="s">
        <v>105</v>
      </c>
      <c r="D280" s="14" t="s">
        <v>81</v>
      </c>
      <c r="E280" s="14" t="n">
        <v>7</v>
      </c>
      <c r="F280" s="14" t="n">
        <v>9</v>
      </c>
      <c r="G280" s="16" t="n">
        <v>9806214</v>
      </c>
      <c r="H280" s="16" t="n">
        <v>5122518</v>
      </c>
      <c r="I280" s="14" t="s">
        <v>74</v>
      </c>
    </row>
    <row r="281" customFormat="false" ht="15" hidden="false" customHeight="false" outlineLevel="0" collapsed="false">
      <c r="A281" s="14" t="s">
        <v>15</v>
      </c>
      <c r="B281" s="15" t="n">
        <v>46168</v>
      </c>
      <c r="C281" s="14" t="s">
        <v>107</v>
      </c>
      <c r="D281" s="14" t="s">
        <v>81</v>
      </c>
      <c r="E281" s="14" t="n">
        <v>7</v>
      </c>
      <c r="F281" s="14" t="n">
        <v>10</v>
      </c>
      <c r="G281" s="16" t="n">
        <v>7403552</v>
      </c>
      <c r="H281" s="16" t="n">
        <v>3110113</v>
      </c>
      <c r="I281" s="14" t="s">
        <v>68</v>
      </c>
    </row>
    <row r="282" customFormat="false" ht="15" hidden="false" customHeight="false" outlineLevel="0" collapsed="false">
      <c r="A282" s="14" t="s">
        <v>12</v>
      </c>
      <c r="B282" s="15" t="n">
        <v>46175</v>
      </c>
      <c r="C282" s="14" t="s">
        <v>38</v>
      </c>
      <c r="D282" s="14"/>
      <c r="E282" s="14" t="n">
        <v>8</v>
      </c>
      <c r="F282" s="14" t="n">
        <v>1</v>
      </c>
      <c r="G282" s="16" t="n">
        <v>30699562</v>
      </c>
      <c r="H282" s="16" t="n">
        <v>18573563</v>
      </c>
      <c r="I282" s="14" t="s">
        <v>158</v>
      </c>
    </row>
    <row r="283" customFormat="false" ht="15" hidden="false" customHeight="false" outlineLevel="0" collapsed="false">
      <c r="A283" s="14" t="s">
        <v>12</v>
      </c>
      <c r="B283" s="15" t="n">
        <v>46175</v>
      </c>
      <c r="C283" s="14" t="s">
        <v>136</v>
      </c>
      <c r="D283" s="14"/>
      <c r="E283" s="14" t="n">
        <v>6</v>
      </c>
      <c r="F283" s="14" t="n">
        <v>2</v>
      </c>
      <c r="G283" s="16" t="n">
        <v>19863904</v>
      </c>
      <c r="H283" s="16" t="n">
        <v>11223675</v>
      </c>
      <c r="I283" s="14" t="s">
        <v>39</v>
      </c>
    </row>
    <row r="284" customFormat="false" ht="15" hidden="false" customHeight="false" outlineLevel="0" collapsed="false">
      <c r="A284" s="14" t="s">
        <v>12</v>
      </c>
      <c r="B284" s="15" t="n">
        <v>46175</v>
      </c>
      <c r="C284" s="14" t="s">
        <v>34</v>
      </c>
      <c r="D284" s="14"/>
      <c r="E284" s="14" t="n">
        <v>8</v>
      </c>
      <c r="F284" s="14" t="n">
        <v>3</v>
      </c>
      <c r="G284" s="16" t="n">
        <v>18733775</v>
      </c>
      <c r="H284" s="16" t="n">
        <v>8090214</v>
      </c>
      <c r="I284" s="14" t="s">
        <v>143</v>
      </c>
    </row>
    <row r="285" customFormat="false" ht="15" hidden="false" customHeight="false" outlineLevel="0" collapsed="false">
      <c r="A285" s="14" t="s">
        <v>12</v>
      </c>
      <c r="B285" s="15" t="n">
        <v>46175</v>
      </c>
      <c r="C285" s="14" t="s">
        <v>40</v>
      </c>
      <c r="D285" s="14"/>
      <c r="E285" s="14" t="n">
        <v>1</v>
      </c>
      <c r="F285" s="14" t="n">
        <v>4</v>
      </c>
      <c r="G285" s="16" t="n">
        <v>17810361</v>
      </c>
      <c r="H285" s="16" t="n">
        <v>10250164</v>
      </c>
      <c r="I285" s="14" t="s">
        <v>176</v>
      </c>
    </row>
    <row r="286" customFormat="false" ht="15" hidden="false" customHeight="false" outlineLevel="0" collapsed="false">
      <c r="A286" s="14" t="s">
        <v>12</v>
      </c>
      <c r="B286" s="15" t="n">
        <v>46175</v>
      </c>
      <c r="C286" s="14" t="s">
        <v>44</v>
      </c>
      <c r="D286" s="14"/>
      <c r="E286" s="14" t="n">
        <v>8</v>
      </c>
      <c r="F286" s="14" t="n">
        <v>5</v>
      </c>
      <c r="G286" s="16" t="n">
        <v>16280570</v>
      </c>
      <c r="H286" s="16" t="n">
        <v>7041125</v>
      </c>
      <c r="I286" s="14" t="s">
        <v>139</v>
      </c>
    </row>
    <row r="287" customFormat="false" ht="15" hidden="false" customHeight="false" outlineLevel="0" collapsed="false">
      <c r="A287" s="14" t="s">
        <v>12</v>
      </c>
      <c r="B287" s="15" t="n">
        <v>46175</v>
      </c>
      <c r="C287" s="14" t="s">
        <v>42</v>
      </c>
      <c r="D287" s="14"/>
      <c r="E287" s="14" t="n">
        <v>2</v>
      </c>
      <c r="F287" s="14" t="n">
        <v>6</v>
      </c>
      <c r="G287" s="16" t="n">
        <v>14031239</v>
      </c>
      <c r="H287" s="16" t="n">
        <v>7083359</v>
      </c>
      <c r="I287" s="14" t="s">
        <v>41</v>
      </c>
    </row>
    <row r="288" customFormat="false" ht="15" hidden="false" customHeight="false" outlineLevel="0" collapsed="false">
      <c r="A288" s="14" t="s">
        <v>12</v>
      </c>
      <c r="B288" s="15" t="n">
        <v>46175</v>
      </c>
      <c r="C288" s="14" t="s">
        <v>50</v>
      </c>
      <c r="D288" s="14"/>
      <c r="E288" s="14" t="n">
        <v>3</v>
      </c>
      <c r="F288" s="14" t="n">
        <v>7</v>
      </c>
      <c r="G288" s="16" t="n">
        <v>8753853</v>
      </c>
      <c r="H288" s="16" t="n">
        <v>3727528</v>
      </c>
      <c r="I288" s="14" t="s">
        <v>121</v>
      </c>
    </row>
    <row r="289" customFormat="false" ht="15" hidden="false" customHeight="false" outlineLevel="0" collapsed="false">
      <c r="A289" s="14" t="s">
        <v>12</v>
      </c>
      <c r="B289" s="15" t="n">
        <v>46175</v>
      </c>
      <c r="C289" s="14" t="s">
        <v>114</v>
      </c>
      <c r="D289" s="14"/>
      <c r="E289" s="14" t="n">
        <v>4</v>
      </c>
      <c r="F289" s="14" t="n">
        <v>8</v>
      </c>
      <c r="G289" s="16" t="n">
        <v>8278395</v>
      </c>
      <c r="H289" s="16" t="n">
        <v>4671404</v>
      </c>
      <c r="I289" s="14" t="s">
        <v>128</v>
      </c>
    </row>
    <row r="290" customFormat="false" ht="15" hidden="false" customHeight="false" outlineLevel="0" collapsed="false">
      <c r="A290" s="14" t="s">
        <v>12</v>
      </c>
      <c r="B290" s="15" t="n">
        <v>46175</v>
      </c>
      <c r="C290" s="14" t="s">
        <v>46</v>
      </c>
      <c r="D290" s="14"/>
      <c r="E290" s="14" t="n">
        <v>8</v>
      </c>
      <c r="F290" s="14" t="n">
        <v>9</v>
      </c>
      <c r="G290" s="16" t="n">
        <v>7714309</v>
      </c>
      <c r="H290" s="16" t="n">
        <v>3729210</v>
      </c>
      <c r="I290" s="14" t="s">
        <v>41</v>
      </c>
    </row>
    <row r="291" customFormat="false" ht="15" hidden="false" customHeight="false" outlineLevel="0" collapsed="false">
      <c r="A291" s="14" t="s">
        <v>12</v>
      </c>
      <c r="B291" s="15" t="n">
        <v>46175</v>
      </c>
      <c r="C291" s="14" t="s">
        <v>48</v>
      </c>
      <c r="D291" s="14"/>
      <c r="E291" s="14" t="n">
        <v>8</v>
      </c>
      <c r="F291" s="14" t="n">
        <v>10</v>
      </c>
      <c r="G291" s="16" t="n">
        <v>7127317</v>
      </c>
      <c r="H291" s="16" t="n">
        <v>3324895</v>
      </c>
      <c r="I291" s="14" t="s">
        <v>109</v>
      </c>
    </row>
    <row r="292" customFormat="false" ht="15" hidden="false" customHeight="false" outlineLevel="0" collapsed="false">
      <c r="A292" s="14" t="s">
        <v>13</v>
      </c>
      <c r="B292" s="15" t="n">
        <v>46175</v>
      </c>
      <c r="C292" s="14" t="s">
        <v>60</v>
      </c>
      <c r="D292" s="14"/>
      <c r="E292" s="14" t="n">
        <v>3</v>
      </c>
      <c r="F292" s="14" t="n">
        <v>1</v>
      </c>
      <c r="G292" s="16" t="n">
        <v>32229559</v>
      </c>
      <c r="H292" s="16" t="n">
        <v>16777385</v>
      </c>
      <c r="I292" s="14" t="s">
        <v>128</v>
      </c>
    </row>
    <row r="293" customFormat="false" ht="15" hidden="false" customHeight="false" outlineLevel="0" collapsed="false">
      <c r="A293" s="14" t="s">
        <v>13</v>
      </c>
      <c r="B293" s="15" t="n">
        <v>46175</v>
      </c>
      <c r="C293" s="14" t="s">
        <v>52</v>
      </c>
      <c r="D293" s="14"/>
      <c r="E293" s="14" t="n">
        <v>8</v>
      </c>
      <c r="F293" s="14" t="n">
        <v>2</v>
      </c>
      <c r="G293" s="16" t="n">
        <v>32220594</v>
      </c>
      <c r="H293" s="16" t="n">
        <v>13659065</v>
      </c>
      <c r="I293" s="14" t="s">
        <v>123</v>
      </c>
    </row>
    <row r="294" customFormat="false" ht="15" hidden="false" customHeight="false" outlineLevel="0" collapsed="false">
      <c r="A294" s="14" t="s">
        <v>13</v>
      </c>
      <c r="B294" s="15" t="n">
        <v>46175</v>
      </c>
      <c r="C294" s="14" t="s">
        <v>58</v>
      </c>
      <c r="D294" s="14"/>
      <c r="E294" s="14" t="n">
        <v>8</v>
      </c>
      <c r="F294" s="14" t="n">
        <v>3</v>
      </c>
      <c r="G294" s="16" t="n">
        <v>23468826</v>
      </c>
      <c r="H294" s="16" t="n">
        <v>11384406</v>
      </c>
      <c r="I294" s="14" t="s">
        <v>160</v>
      </c>
    </row>
    <row r="295" customFormat="false" ht="15" hidden="false" customHeight="false" outlineLevel="0" collapsed="false">
      <c r="A295" s="14" t="s">
        <v>13</v>
      </c>
      <c r="B295" s="15" t="n">
        <v>46175</v>
      </c>
      <c r="C295" s="14" t="s">
        <v>64</v>
      </c>
      <c r="D295" s="14"/>
      <c r="E295" s="14" t="n">
        <v>2</v>
      </c>
      <c r="F295" s="14" t="n">
        <v>4</v>
      </c>
      <c r="G295" s="16" t="n">
        <v>22685999</v>
      </c>
      <c r="H295" s="16" t="n">
        <v>13065917</v>
      </c>
      <c r="I295" s="14" t="s">
        <v>186</v>
      </c>
    </row>
    <row r="296" customFormat="false" ht="15" hidden="false" customHeight="false" outlineLevel="0" collapsed="false">
      <c r="A296" s="14" t="s">
        <v>13</v>
      </c>
      <c r="B296" s="15" t="n">
        <v>46175</v>
      </c>
      <c r="C296" s="14" t="s">
        <v>54</v>
      </c>
      <c r="D296" s="14"/>
      <c r="E296" s="14" t="n">
        <v>8</v>
      </c>
      <c r="F296" s="14" t="n">
        <v>5</v>
      </c>
      <c r="G296" s="16" t="n">
        <v>20833310</v>
      </c>
      <c r="H296" s="16" t="n">
        <v>8742811</v>
      </c>
      <c r="I296" s="14" t="s">
        <v>178</v>
      </c>
    </row>
    <row r="297" customFormat="false" ht="15" hidden="false" customHeight="false" outlineLevel="0" collapsed="false">
      <c r="A297" s="14" t="s">
        <v>13</v>
      </c>
      <c r="B297" s="15" t="n">
        <v>46175</v>
      </c>
      <c r="C297" s="14" t="s">
        <v>142</v>
      </c>
      <c r="D297" s="14"/>
      <c r="E297" s="14" t="n">
        <v>6</v>
      </c>
      <c r="F297" s="14" t="n">
        <v>6</v>
      </c>
      <c r="G297" s="16" t="n">
        <v>19340653</v>
      </c>
      <c r="H297" s="16" t="n">
        <v>9694865</v>
      </c>
      <c r="I297" s="14" t="s">
        <v>61</v>
      </c>
    </row>
    <row r="298" customFormat="false" ht="15" hidden="false" customHeight="false" outlineLevel="0" collapsed="false">
      <c r="A298" s="14" t="s">
        <v>13</v>
      </c>
      <c r="B298" s="15" t="n">
        <v>46175</v>
      </c>
      <c r="C298" s="14" t="s">
        <v>56</v>
      </c>
      <c r="D298" s="14"/>
      <c r="E298" s="14" t="n">
        <v>1</v>
      </c>
      <c r="F298" s="14" t="n">
        <v>7</v>
      </c>
      <c r="G298" s="16" t="n">
        <v>17460061</v>
      </c>
      <c r="H298" s="16" t="n">
        <v>7346322</v>
      </c>
      <c r="I298" s="14" t="s">
        <v>68</v>
      </c>
    </row>
    <row r="299" customFormat="false" ht="15" hidden="false" customHeight="false" outlineLevel="0" collapsed="false">
      <c r="A299" s="14" t="s">
        <v>13</v>
      </c>
      <c r="B299" s="15" t="n">
        <v>46175</v>
      </c>
      <c r="C299" s="14" t="s">
        <v>62</v>
      </c>
      <c r="D299" s="14"/>
      <c r="E299" s="14" t="n">
        <v>4</v>
      </c>
      <c r="F299" s="14" t="n">
        <v>8</v>
      </c>
      <c r="G299" s="16" t="n">
        <v>16358346</v>
      </c>
      <c r="H299" s="16" t="n">
        <v>8528767</v>
      </c>
      <c r="I299" s="14" t="s">
        <v>149</v>
      </c>
    </row>
    <row r="300" customFormat="false" ht="15" hidden="false" customHeight="false" outlineLevel="0" collapsed="false">
      <c r="A300" s="14" t="s">
        <v>13</v>
      </c>
      <c r="B300" s="15" t="n">
        <v>46175</v>
      </c>
      <c r="C300" s="14" t="s">
        <v>144</v>
      </c>
      <c r="D300" s="14"/>
      <c r="E300" s="14" t="n">
        <v>6</v>
      </c>
      <c r="F300" s="14" t="n">
        <v>9</v>
      </c>
      <c r="G300" s="16" t="n">
        <v>8147526</v>
      </c>
      <c r="H300" s="16" t="n">
        <v>3940186</v>
      </c>
      <c r="I300" s="14" t="s">
        <v>41</v>
      </c>
    </row>
    <row r="301" customFormat="false" ht="15" hidden="false" customHeight="false" outlineLevel="0" collapsed="false">
      <c r="A301" s="14" t="s">
        <v>13</v>
      </c>
      <c r="B301" s="15" t="n">
        <v>46175</v>
      </c>
      <c r="C301" s="14" t="s">
        <v>69</v>
      </c>
      <c r="D301" s="14"/>
      <c r="E301" s="14" t="n">
        <v>5</v>
      </c>
      <c r="F301" s="14" t="n">
        <v>10</v>
      </c>
      <c r="G301" s="16" t="n">
        <v>5399815</v>
      </c>
      <c r="H301" s="16" t="n">
        <v>2908022</v>
      </c>
      <c r="I301" s="14" t="s">
        <v>147</v>
      </c>
    </row>
    <row r="302" customFormat="false" ht="15" hidden="false" customHeight="false" outlineLevel="0" collapsed="false">
      <c r="A302" s="14" t="s">
        <v>14</v>
      </c>
      <c r="B302" s="15" t="n">
        <v>46175</v>
      </c>
      <c r="C302" s="14" t="s">
        <v>75</v>
      </c>
      <c r="D302" s="14" t="s">
        <v>71</v>
      </c>
      <c r="E302" s="14" t="n">
        <v>8</v>
      </c>
      <c r="F302" s="14" t="n">
        <v>1</v>
      </c>
      <c r="G302" s="16" t="n">
        <v>27309852</v>
      </c>
      <c r="H302" s="16" t="n">
        <v>12536132</v>
      </c>
      <c r="I302" s="14" t="s">
        <v>92</v>
      </c>
    </row>
    <row r="303" customFormat="false" ht="15" hidden="false" customHeight="false" outlineLevel="0" collapsed="false">
      <c r="A303" s="14" t="s">
        <v>14</v>
      </c>
      <c r="B303" s="15" t="n">
        <v>46175</v>
      </c>
      <c r="C303" s="14" t="s">
        <v>70</v>
      </c>
      <c r="D303" s="14" t="s">
        <v>71</v>
      </c>
      <c r="E303" s="14" t="n">
        <v>4</v>
      </c>
      <c r="F303" s="14" t="n">
        <v>2</v>
      </c>
      <c r="G303" s="16" t="n">
        <v>23391993</v>
      </c>
      <c r="H303" s="16" t="n">
        <v>13203647</v>
      </c>
      <c r="I303" s="14" t="s">
        <v>165</v>
      </c>
    </row>
    <row r="304" customFormat="false" ht="15" hidden="false" customHeight="false" outlineLevel="0" collapsed="false">
      <c r="A304" s="14" t="s">
        <v>14</v>
      </c>
      <c r="B304" s="15" t="n">
        <v>46175</v>
      </c>
      <c r="C304" s="14" t="s">
        <v>125</v>
      </c>
      <c r="D304" s="14" t="s">
        <v>76</v>
      </c>
      <c r="E304" s="14" t="n">
        <v>7</v>
      </c>
      <c r="F304" s="14" t="n">
        <v>3</v>
      </c>
      <c r="G304" s="16" t="n">
        <v>22608611</v>
      </c>
      <c r="H304" s="16" t="n">
        <v>10255981</v>
      </c>
      <c r="I304" s="14" t="s">
        <v>117</v>
      </c>
    </row>
    <row r="305" customFormat="false" ht="15" hidden="false" customHeight="false" outlineLevel="0" collapsed="false">
      <c r="A305" s="14" t="s">
        <v>14</v>
      </c>
      <c r="B305" s="15" t="n">
        <v>46175</v>
      </c>
      <c r="C305" s="14" t="s">
        <v>80</v>
      </c>
      <c r="D305" s="14" t="s">
        <v>81</v>
      </c>
      <c r="E305" s="14" t="n">
        <v>8</v>
      </c>
      <c r="F305" s="14" t="n">
        <v>4</v>
      </c>
      <c r="G305" s="16" t="n">
        <v>22384574</v>
      </c>
      <c r="H305" s="16" t="n">
        <v>9898407</v>
      </c>
      <c r="I305" s="14" t="s">
        <v>92</v>
      </c>
    </row>
    <row r="306" customFormat="false" ht="15" hidden="false" customHeight="false" outlineLevel="0" collapsed="false">
      <c r="A306" s="14" t="s">
        <v>14</v>
      </c>
      <c r="B306" s="15" t="n">
        <v>46175</v>
      </c>
      <c r="C306" s="14" t="s">
        <v>82</v>
      </c>
      <c r="D306" s="14" t="s">
        <v>81</v>
      </c>
      <c r="E306" s="14" t="n">
        <v>1</v>
      </c>
      <c r="F306" s="14" t="n">
        <v>5</v>
      </c>
      <c r="G306" s="16" t="n">
        <v>21853141</v>
      </c>
      <c r="H306" s="16" t="n">
        <v>10516856</v>
      </c>
      <c r="I306" s="14" t="s">
        <v>53</v>
      </c>
    </row>
    <row r="307" customFormat="false" ht="15" hidden="false" customHeight="false" outlineLevel="0" collapsed="false">
      <c r="A307" s="14" t="s">
        <v>14</v>
      </c>
      <c r="B307" s="15" t="n">
        <v>46175</v>
      </c>
      <c r="C307" s="14" t="s">
        <v>84</v>
      </c>
      <c r="D307" s="14" t="s">
        <v>81</v>
      </c>
      <c r="E307" s="14" t="n">
        <v>8</v>
      </c>
      <c r="F307" s="14" t="n">
        <v>6</v>
      </c>
      <c r="G307" s="16" t="n">
        <v>18384209</v>
      </c>
      <c r="H307" s="16" t="n">
        <v>11195815</v>
      </c>
      <c r="I307" s="14" t="s">
        <v>177</v>
      </c>
    </row>
    <row r="308" customFormat="false" ht="15" hidden="false" customHeight="false" outlineLevel="0" collapsed="false">
      <c r="A308" s="14" t="s">
        <v>14</v>
      </c>
      <c r="B308" s="15" t="n">
        <v>46175</v>
      </c>
      <c r="C308" s="14" t="s">
        <v>73</v>
      </c>
      <c r="D308" s="14" t="s">
        <v>81</v>
      </c>
      <c r="E308" s="14" t="n">
        <v>8</v>
      </c>
      <c r="F308" s="14" t="n">
        <v>7</v>
      </c>
      <c r="G308" s="16" t="n">
        <v>16930665</v>
      </c>
      <c r="H308" s="16" t="n">
        <v>8845753</v>
      </c>
      <c r="I308" s="14" t="s">
        <v>53</v>
      </c>
    </row>
    <row r="309" customFormat="false" ht="15" hidden="false" customHeight="false" outlineLevel="0" collapsed="false">
      <c r="A309" s="14" t="s">
        <v>14</v>
      </c>
      <c r="B309" s="15" t="n">
        <v>46175</v>
      </c>
      <c r="C309" s="14" t="s">
        <v>86</v>
      </c>
      <c r="D309" s="14" t="s">
        <v>76</v>
      </c>
      <c r="E309" s="14" t="n">
        <v>8</v>
      </c>
      <c r="F309" s="14" t="n">
        <v>8</v>
      </c>
      <c r="G309" s="16" t="n">
        <v>12076293</v>
      </c>
      <c r="H309" s="16" t="n">
        <v>5853236</v>
      </c>
      <c r="I309" s="14" t="s">
        <v>141</v>
      </c>
    </row>
    <row r="310" customFormat="false" ht="15" hidden="false" customHeight="false" outlineLevel="0" collapsed="false">
      <c r="A310" s="14" t="s">
        <v>14</v>
      </c>
      <c r="B310" s="15" t="n">
        <v>46175</v>
      </c>
      <c r="C310" s="14" t="s">
        <v>90</v>
      </c>
      <c r="D310" s="14" t="s">
        <v>81</v>
      </c>
      <c r="E310" s="14" t="n">
        <v>8</v>
      </c>
      <c r="F310" s="14" t="n">
        <v>9</v>
      </c>
      <c r="G310" s="16" t="n">
        <v>9355985</v>
      </c>
      <c r="H310" s="16" t="n">
        <v>5736934</v>
      </c>
      <c r="I310" s="14" t="s">
        <v>151</v>
      </c>
    </row>
    <row r="311" customFormat="false" ht="15" hidden="false" customHeight="false" outlineLevel="0" collapsed="false">
      <c r="A311" s="14" t="s">
        <v>14</v>
      </c>
      <c r="B311" s="15" t="n">
        <v>46175</v>
      </c>
      <c r="C311" s="14" t="s">
        <v>88</v>
      </c>
      <c r="D311" s="14" t="s">
        <v>76</v>
      </c>
      <c r="E311" s="14" t="n">
        <v>8</v>
      </c>
      <c r="F311" s="14" t="n">
        <v>10</v>
      </c>
      <c r="G311" s="16" t="n">
        <v>7479368</v>
      </c>
      <c r="H311" s="16" t="n">
        <v>3648232</v>
      </c>
      <c r="I311" s="14" t="s">
        <v>162</v>
      </c>
    </row>
    <row r="312" customFormat="false" ht="15" hidden="false" customHeight="false" outlineLevel="0" collapsed="false">
      <c r="A312" s="14" t="s">
        <v>15</v>
      </c>
      <c r="B312" s="15" t="n">
        <v>46175</v>
      </c>
      <c r="C312" s="14" t="s">
        <v>99</v>
      </c>
      <c r="D312" s="14" t="s">
        <v>81</v>
      </c>
      <c r="E312" s="14" t="n">
        <v>3</v>
      </c>
      <c r="F312" s="14" t="n">
        <v>1</v>
      </c>
      <c r="G312" s="16" t="n">
        <v>30655396</v>
      </c>
      <c r="H312" s="16" t="n">
        <v>14942814</v>
      </c>
      <c r="I312" s="14" t="s">
        <v>94</v>
      </c>
    </row>
    <row r="313" customFormat="false" ht="15" hidden="false" customHeight="false" outlineLevel="0" collapsed="false">
      <c r="A313" s="14" t="s">
        <v>15</v>
      </c>
      <c r="B313" s="15" t="n">
        <v>46175</v>
      </c>
      <c r="C313" s="14" t="s">
        <v>95</v>
      </c>
      <c r="D313" s="14" t="s">
        <v>71</v>
      </c>
      <c r="E313" s="14" t="n">
        <v>1</v>
      </c>
      <c r="F313" s="14" t="n">
        <v>2</v>
      </c>
      <c r="G313" s="16" t="n">
        <v>24031220</v>
      </c>
      <c r="H313" s="16" t="n">
        <v>11521514</v>
      </c>
      <c r="I313" s="14" t="s">
        <v>160</v>
      </c>
    </row>
    <row r="314" customFormat="false" ht="15" hidden="false" customHeight="false" outlineLevel="0" collapsed="false">
      <c r="A314" s="14" t="s">
        <v>15</v>
      </c>
      <c r="B314" s="15" t="n">
        <v>46175</v>
      </c>
      <c r="C314" s="14" t="s">
        <v>98</v>
      </c>
      <c r="D314" s="14" t="s">
        <v>71</v>
      </c>
      <c r="E314" s="14" t="n">
        <v>5</v>
      </c>
      <c r="F314" s="14" t="n">
        <v>3</v>
      </c>
      <c r="G314" s="16" t="n">
        <v>23432247</v>
      </c>
      <c r="H314" s="16" t="n">
        <v>12358861</v>
      </c>
      <c r="I314" s="14" t="s">
        <v>147</v>
      </c>
    </row>
    <row r="315" customFormat="false" ht="15" hidden="false" customHeight="false" outlineLevel="0" collapsed="false">
      <c r="A315" s="14" t="s">
        <v>15</v>
      </c>
      <c r="B315" s="15" t="n">
        <v>46175</v>
      </c>
      <c r="C315" s="14" t="s">
        <v>103</v>
      </c>
      <c r="D315" s="14" t="s">
        <v>81</v>
      </c>
      <c r="E315" s="14" t="n">
        <v>2</v>
      </c>
      <c r="F315" s="14" t="n">
        <v>4</v>
      </c>
      <c r="G315" s="16" t="n">
        <v>19237488</v>
      </c>
      <c r="H315" s="16" t="n">
        <v>11351430</v>
      </c>
      <c r="I315" s="14" t="s">
        <v>187</v>
      </c>
    </row>
    <row r="316" customFormat="false" ht="15" hidden="false" customHeight="false" outlineLevel="0" collapsed="false">
      <c r="A316" s="14" t="s">
        <v>15</v>
      </c>
      <c r="B316" s="15" t="n">
        <v>46175</v>
      </c>
      <c r="C316" s="14" t="s">
        <v>91</v>
      </c>
      <c r="D316" s="14" t="s">
        <v>76</v>
      </c>
      <c r="E316" s="14" t="n">
        <v>8</v>
      </c>
      <c r="F316" s="14" t="n">
        <v>5</v>
      </c>
      <c r="G316" s="16" t="n">
        <v>18848568</v>
      </c>
      <c r="H316" s="16" t="n">
        <v>8302699</v>
      </c>
      <c r="I316" s="14" t="s">
        <v>89</v>
      </c>
    </row>
    <row r="317" customFormat="false" ht="15" hidden="false" customHeight="false" outlineLevel="0" collapsed="false">
      <c r="A317" s="14" t="s">
        <v>15</v>
      </c>
      <c r="B317" s="15" t="n">
        <v>46175</v>
      </c>
      <c r="C317" s="14" t="s">
        <v>97</v>
      </c>
      <c r="D317" s="14" t="s">
        <v>81</v>
      </c>
      <c r="E317" s="14" t="n">
        <v>8</v>
      </c>
      <c r="F317" s="14" t="n">
        <v>6</v>
      </c>
      <c r="G317" s="16" t="n">
        <v>17332379</v>
      </c>
      <c r="H317" s="16" t="n">
        <v>9404247</v>
      </c>
      <c r="I317" s="14" t="s">
        <v>150</v>
      </c>
    </row>
    <row r="318" customFormat="false" ht="15" hidden="false" customHeight="false" outlineLevel="0" collapsed="false">
      <c r="A318" s="14" t="s">
        <v>15</v>
      </c>
      <c r="B318" s="15" t="n">
        <v>46175</v>
      </c>
      <c r="C318" s="14" t="s">
        <v>101</v>
      </c>
      <c r="D318" s="14" t="s">
        <v>71</v>
      </c>
      <c r="E318" s="14" t="n">
        <v>3</v>
      </c>
      <c r="F318" s="14" t="n">
        <v>7</v>
      </c>
      <c r="G318" s="16" t="n">
        <v>16159491</v>
      </c>
      <c r="H318" s="16" t="n">
        <v>9980068</v>
      </c>
      <c r="I318" s="14" t="s">
        <v>151</v>
      </c>
    </row>
    <row r="319" customFormat="false" ht="15" hidden="false" customHeight="false" outlineLevel="0" collapsed="false">
      <c r="A319" s="14" t="s">
        <v>15</v>
      </c>
      <c r="B319" s="15" t="n">
        <v>46175</v>
      </c>
      <c r="C319" s="14" t="s">
        <v>175</v>
      </c>
      <c r="D319" s="14" t="s">
        <v>81</v>
      </c>
      <c r="E319" s="14" t="n">
        <v>4</v>
      </c>
      <c r="F319" s="14" t="n">
        <v>8</v>
      </c>
      <c r="G319" s="16" t="n">
        <v>12763934</v>
      </c>
      <c r="H319" s="16" t="n">
        <v>6476062</v>
      </c>
      <c r="I319" s="14" t="s">
        <v>173</v>
      </c>
    </row>
    <row r="320" customFormat="false" ht="15" hidden="false" customHeight="false" outlineLevel="0" collapsed="false">
      <c r="A320" s="14" t="s">
        <v>15</v>
      </c>
      <c r="B320" s="15" t="n">
        <v>46175</v>
      </c>
      <c r="C320" s="14" t="s">
        <v>107</v>
      </c>
      <c r="D320" s="14" t="s">
        <v>81</v>
      </c>
      <c r="E320" s="14" t="n">
        <v>8</v>
      </c>
      <c r="F320" s="14" t="n">
        <v>9</v>
      </c>
      <c r="G320" s="16" t="n">
        <v>8473727</v>
      </c>
      <c r="H320" s="16" t="n">
        <v>4896089</v>
      </c>
      <c r="I320" s="14" t="s">
        <v>126</v>
      </c>
    </row>
    <row r="321" customFormat="false" ht="15" hidden="false" customHeight="false" outlineLevel="0" collapsed="false">
      <c r="A321" s="14" t="s">
        <v>15</v>
      </c>
      <c r="B321" s="15" t="n">
        <v>46175</v>
      </c>
      <c r="C321" s="14" t="s">
        <v>105</v>
      </c>
      <c r="D321" s="14" t="s">
        <v>71</v>
      </c>
      <c r="E321" s="14" t="n">
        <v>8</v>
      </c>
      <c r="F321" s="14" t="n">
        <v>10</v>
      </c>
      <c r="G321" s="16" t="n">
        <v>7889249</v>
      </c>
      <c r="H321" s="16" t="n">
        <v>4149206</v>
      </c>
      <c r="I321" s="14" t="s">
        <v>188</v>
      </c>
    </row>
    <row r="322" customFormat="false" ht="15" hidden="false" customHeight="false" outlineLevel="0" collapsed="false">
      <c r="A322" s="14" t="s">
        <v>12</v>
      </c>
      <c r="B322" s="15" t="n">
        <v>46182</v>
      </c>
      <c r="C322" s="14" t="s">
        <v>32</v>
      </c>
      <c r="D322" s="14"/>
      <c r="E322" s="14" t="n">
        <v>1</v>
      </c>
      <c r="F322" s="14" t="n">
        <v>1</v>
      </c>
      <c r="G322" s="16" t="n">
        <v>41644842</v>
      </c>
      <c r="H322" s="16" t="n">
        <v>19238713</v>
      </c>
      <c r="I322" s="14" t="s">
        <v>157</v>
      </c>
    </row>
    <row r="323" customFormat="false" ht="15" hidden="false" customHeight="false" outlineLevel="0" collapsed="false">
      <c r="A323" s="14" t="s">
        <v>12</v>
      </c>
      <c r="B323" s="15" t="n">
        <v>46182</v>
      </c>
      <c r="C323" s="14" t="s">
        <v>34</v>
      </c>
      <c r="D323" s="14"/>
      <c r="E323" s="14" t="n">
        <v>9</v>
      </c>
      <c r="F323" s="14" t="n">
        <v>2</v>
      </c>
      <c r="G323" s="16" t="n">
        <v>26467298</v>
      </c>
      <c r="H323" s="16" t="n">
        <v>11396571</v>
      </c>
      <c r="I323" s="14" t="s">
        <v>66</v>
      </c>
    </row>
    <row r="324" customFormat="false" ht="15" hidden="false" customHeight="false" outlineLevel="0" collapsed="false">
      <c r="A324" s="14" t="s">
        <v>12</v>
      </c>
      <c r="B324" s="15" t="n">
        <v>46182</v>
      </c>
      <c r="C324" s="14" t="s">
        <v>38</v>
      </c>
      <c r="D324" s="14"/>
      <c r="E324" s="14" t="n">
        <v>9</v>
      </c>
      <c r="F324" s="14" t="n">
        <v>3</v>
      </c>
      <c r="G324" s="16" t="n">
        <v>25582409</v>
      </c>
      <c r="H324" s="16" t="n">
        <v>15636291</v>
      </c>
      <c r="I324" s="14" t="s">
        <v>124</v>
      </c>
    </row>
    <row r="325" customFormat="false" ht="15" hidden="false" customHeight="false" outlineLevel="0" collapsed="false">
      <c r="A325" s="14" t="s">
        <v>12</v>
      </c>
      <c r="B325" s="15" t="n">
        <v>46182</v>
      </c>
      <c r="C325" s="14" t="s">
        <v>42</v>
      </c>
      <c r="D325" s="14"/>
      <c r="E325" s="14" t="n">
        <v>3</v>
      </c>
      <c r="F325" s="14" t="n">
        <v>4</v>
      </c>
      <c r="G325" s="16" t="n">
        <v>24390760</v>
      </c>
      <c r="H325" s="16" t="n">
        <v>10744920</v>
      </c>
      <c r="I325" s="14" t="s">
        <v>151</v>
      </c>
    </row>
    <row r="326" customFormat="false" ht="15" hidden="false" customHeight="false" outlineLevel="0" collapsed="false">
      <c r="A326" s="14" t="s">
        <v>12</v>
      </c>
      <c r="B326" s="15" t="n">
        <v>46182</v>
      </c>
      <c r="C326" s="14" t="s">
        <v>40</v>
      </c>
      <c r="D326" s="14"/>
      <c r="E326" s="14" t="n">
        <v>2</v>
      </c>
      <c r="F326" s="14" t="n">
        <v>5</v>
      </c>
      <c r="G326" s="16" t="n">
        <v>18591790</v>
      </c>
      <c r="H326" s="16" t="n">
        <v>10975059</v>
      </c>
      <c r="I326" s="14" t="s">
        <v>116</v>
      </c>
    </row>
    <row r="327" customFormat="false" ht="15" hidden="false" customHeight="false" outlineLevel="0" collapsed="false">
      <c r="A327" s="14" t="s">
        <v>12</v>
      </c>
      <c r="B327" s="15" t="n">
        <v>46182</v>
      </c>
      <c r="C327" s="14" t="s">
        <v>44</v>
      </c>
      <c r="D327" s="14"/>
      <c r="E327" s="14" t="n">
        <v>9</v>
      </c>
      <c r="F327" s="14" t="n">
        <v>6</v>
      </c>
      <c r="G327" s="16" t="n">
        <v>17839499</v>
      </c>
      <c r="H327" s="16" t="n">
        <v>7866551</v>
      </c>
      <c r="I327" s="14" t="s">
        <v>128</v>
      </c>
    </row>
    <row r="328" customFormat="false" ht="15" hidden="false" customHeight="false" outlineLevel="0" collapsed="false">
      <c r="A328" s="14" t="s">
        <v>12</v>
      </c>
      <c r="B328" s="15" t="n">
        <v>46182</v>
      </c>
      <c r="C328" s="14" t="s">
        <v>136</v>
      </c>
      <c r="D328" s="14"/>
      <c r="E328" s="14" t="n">
        <v>7</v>
      </c>
      <c r="F328" s="14" t="n">
        <v>7</v>
      </c>
      <c r="G328" s="16" t="n">
        <v>16868686</v>
      </c>
      <c r="H328" s="16" t="n">
        <v>9781181</v>
      </c>
      <c r="I328" s="14" t="s">
        <v>57</v>
      </c>
    </row>
    <row r="329" customFormat="false" ht="15" hidden="false" customHeight="false" outlineLevel="0" collapsed="false">
      <c r="A329" s="14" t="s">
        <v>12</v>
      </c>
      <c r="B329" s="15" t="n">
        <v>46182</v>
      </c>
      <c r="C329" s="14" t="s">
        <v>50</v>
      </c>
      <c r="D329" s="14"/>
      <c r="E329" s="14" t="n">
        <v>4</v>
      </c>
      <c r="F329" s="14" t="n">
        <v>8</v>
      </c>
      <c r="G329" s="16" t="n">
        <v>9106198</v>
      </c>
      <c r="H329" s="16" t="n">
        <v>3903890</v>
      </c>
      <c r="I329" s="14" t="s">
        <v>117</v>
      </c>
    </row>
    <row r="330" customFormat="false" ht="15" hidden="false" customHeight="false" outlineLevel="0" collapsed="false">
      <c r="A330" s="14" t="s">
        <v>12</v>
      </c>
      <c r="B330" s="15" t="n">
        <v>46182</v>
      </c>
      <c r="C330" s="14" t="s">
        <v>114</v>
      </c>
      <c r="D330" s="14"/>
      <c r="E330" s="14" t="n">
        <v>5</v>
      </c>
      <c r="F330" s="14" t="n">
        <v>9</v>
      </c>
      <c r="G330" s="16" t="n">
        <v>8537038</v>
      </c>
      <c r="H330" s="16" t="n">
        <v>4156382</v>
      </c>
      <c r="I330" s="14" t="s">
        <v>43</v>
      </c>
    </row>
    <row r="331" customFormat="false" ht="15" hidden="false" customHeight="false" outlineLevel="0" collapsed="false">
      <c r="A331" s="14" t="s">
        <v>12</v>
      </c>
      <c r="B331" s="15" t="n">
        <v>46182</v>
      </c>
      <c r="C331" s="14" t="s">
        <v>48</v>
      </c>
      <c r="D331" s="14"/>
      <c r="E331" s="14" t="n">
        <v>9</v>
      </c>
      <c r="F331" s="14" t="n">
        <v>10</v>
      </c>
      <c r="G331" s="16" t="n">
        <v>6725240</v>
      </c>
      <c r="H331" s="16" t="n">
        <v>3438239</v>
      </c>
      <c r="I331" s="14" t="s">
        <v>159</v>
      </c>
    </row>
    <row r="332" customFormat="false" ht="15" hidden="false" customHeight="false" outlineLevel="0" collapsed="false">
      <c r="A332" s="14" t="s">
        <v>13</v>
      </c>
      <c r="B332" s="15" t="n">
        <v>46182</v>
      </c>
      <c r="C332" s="14" t="s">
        <v>52</v>
      </c>
      <c r="D332" s="14"/>
      <c r="E332" s="14" t="n">
        <v>9</v>
      </c>
      <c r="F332" s="14" t="n">
        <v>1</v>
      </c>
      <c r="G332" s="16" t="n">
        <v>31069236</v>
      </c>
      <c r="H332" s="16" t="n">
        <v>16239361</v>
      </c>
      <c r="I332" s="14" t="s">
        <v>104</v>
      </c>
    </row>
    <row r="333" customFormat="false" ht="15" hidden="false" customHeight="false" outlineLevel="0" collapsed="false">
      <c r="A333" s="14" t="s">
        <v>13</v>
      </c>
      <c r="B333" s="15" t="n">
        <v>46182</v>
      </c>
      <c r="C333" s="14" t="s">
        <v>62</v>
      </c>
      <c r="D333" s="14"/>
      <c r="E333" s="14" t="n">
        <v>5</v>
      </c>
      <c r="F333" s="14" t="n">
        <v>2</v>
      </c>
      <c r="G333" s="16" t="n">
        <v>30704268</v>
      </c>
      <c r="H333" s="16" t="n">
        <v>18474857</v>
      </c>
      <c r="I333" s="14" t="s">
        <v>55</v>
      </c>
    </row>
    <row r="334" customFormat="false" ht="15" hidden="false" customHeight="false" outlineLevel="0" collapsed="false">
      <c r="A334" s="14" t="s">
        <v>13</v>
      </c>
      <c r="B334" s="15" t="n">
        <v>46182</v>
      </c>
      <c r="C334" s="14" t="s">
        <v>54</v>
      </c>
      <c r="D334" s="14"/>
      <c r="E334" s="14" t="n">
        <v>9</v>
      </c>
      <c r="F334" s="14" t="n">
        <v>3</v>
      </c>
      <c r="G334" s="16" t="n">
        <v>25658929</v>
      </c>
      <c r="H334" s="16" t="n">
        <v>11537828</v>
      </c>
      <c r="I334" s="14" t="s">
        <v>150</v>
      </c>
    </row>
    <row r="335" customFormat="false" ht="15" hidden="false" customHeight="false" outlineLevel="0" collapsed="false">
      <c r="A335" s="14" t="s">
        <v>13</v>
      </c>
      <c r="B335" s="15" t="n">
        <v>46182</v>
      </c>
      <c r="C335" s="14" t="s">
        <v>58</v>
      </c>
      <c r="D335" s="14"/>
      <c r="E335" s="14" t="n">
        <v>9</v>
      </c>
      <c r="F335" s="14" t="n">
        <v>4</v>
      </c>
      <c r="G335" s="16" t="n">
        <v>25210407</v>
      </c>
      <c r="H335" s="16" t="n">
        <v>10752781</v>
      </c>
      <c r="I335" s="14" t="s">
        <v>83</v>
      </c>
    </row>
    <row r="336" customFormat="false" ht="15" hidden="false" customHeight="false" outlineLevel="0" collapsed="false">
      <c r="A336" s="14" t="s">
        <v>13</v>
      </c>
      <c r="B336" s="15" t="n">
        <v>46182</v>
      </c>
      <c r="C336" s="14" t="s">
        <v>56</v>
      </c>
      <c r="D336" s="14"/>
      <c r="E336" s="14" t="n">
        <v>2</v>
      </c>
      <c r="F336" s="14" t="n">
        <v>5</v>
      </c>
      <c r="G336" s="16" t="n">
        <v>24436656</v>
      </c>
      <c r="H336" s="16" t="n">
        <v>11693428</v>
      </c>
      <c r="I336" s="14" t="s">
        <v>55</v>
      </c>
    </row>
    <row r="337" customFormat="false" ht="15" hidden="false" customHeight="false" outlineLevel="0" collapsed="false">
      <c r="A337" s="14" t="s">
        <v>13</v>
      </c>
      <c r="B337" s="15" t="n">
        <v>46182</v>
      </c>
      <c r="C337" s="14" t="s">
        <v>65</v>
      </c>
      <c r="D337" s="14"/>
      <c r="E337" s="14" t="n">
        <v>1</v>
      </c>
      <c r="F337" s="14" t="n">
        <v>6</v>
      </c>
      <c r="G337" s="16" t="n">
        <v>16311082</v>
      </c>
      <c r="H337" s="16" t="n">
        <v>9450119</v>
      </c>
      <c r="I337" s="14" t="s">
        <v>184</v>
      </c>
    </row>
    <row r="338" customFormat="false" ht="15" hidden="false" customHeight="false" outlineLevel="0" collapsed="false">
      <c r="A338" s="14" t="s">
        <v>13</v>
      </c>
      <c r="B338" s="15" t="n">
        <v>46182</v>
      </c>
      <c r="C338" s="14" t="s">
        <v>67</v>
      </c>
      <c r="D338" s="14"/>
      <c r="E338" s="14" t="n">
        <v>1</v>
      </c>
      <c r="F338" s="14" t="n">
        <v>7</v>
      </c>
      <c r="G338" s="16" t="n">
        <v>14047830</v>
      </c>
      <c r="H338" s="16" t="n">
        <v>7960662</v>
      </c>
      <c r="I338" s="14" t="s">
        <v>116</v>
      </c>
    </row>
    <row r="339" customFormat="false" ht="15" hidden="false" customHeight="false" outlineLevel="0" collapsed="false">
      <c r="A339" s="14" t="s">
        <v>13</v>
      </c>
      <c r="B339" s="15" t="n">
        <v>46182</v>
      </c>
      <c r="C339" s="14" t="s">
        <v>144</v>
      </c>
      <c r="D339" s="14"/>
      <c r="E339" s="14" t="n">
        <v>7</v>
      </c>
      <c r="F339" s="14" t="n">
        <v>8</v>
      </c>
      <c r="G339" s="16" t="n">
        <v>12672175</v>
      </c>
      <c r="H339" s="16" t="n">
        <v>7139400</v>
      </c>
      <c r="I339" s="14" t="s">
        <v>141</v>
      </c>
    </row>
    <row r="340" customFormat="false" ht="15" hidden="false" customHeight="false" outlineLevel="0" collapsed="false">
      <c r="A340" s="14" t="s">
        <v>13</v>
      </c>
      <c r="B340" s="15" t="n">
        <v>46182</v>
      </c>
      <c r="C340" s="14" t="s">
        <v>64</v>
      </c>
      <c r="D340" s="14"/>
      <c r="E340" s="14" t="n">
        <v>3</v>
      </c>
      <c r="F340" s="14" t="n">
        <v>9</v>
      </c>
      <c r="G340" s="16" t="n">
        <v>12540525</v>
      </c>
      <c r="H340" s="16" t="n">
        <v>6230993</v>
      </c>
      <c r="I340" s="14" t="s">
        <v>77</v>
      </c>
    </row>
    <row r="341" customFormat="false" ht="15" hidden="false" customHeight="false" outlineLevel="0" collapsed="false">
      <c r="A341" s="14" t="s">
        <v>13</v>
      </c>
      <c r="B341" s="15" t="n">
        <v>46182</v>
      </c>
      <c r="C341" s="14" t="s">
        <v>142</v>
      </c>
      <c r="D341" s="14"/>
      <c r="E341" s="14" t="n">
        <v>7</v>
      </c>
      <c r="F341" s="14" t="n">
        <v>10</v>
      </c>
      <c r="G341" s="16" t="n">
        <v>8714828</v>
      </c>
      <c r="H341" s="16" t="n">
        <v>3658995</v>
      </c>
      <c r="I341" s="14" t="s">
        <v>151</v>
      </c>
    </row>
    <row r="342" customFormat="false" ht="15" hidden="false" customHeight="false" outlineLevel="0" collapsed="false">
      <c r="A342" s="14" t="s">
        <v>14</v>
      </c>
      <c r="B342" s="15" t="n">
        <v>46182</v>
      </c>
      <c r="C342" s="14" t="s">
        <v>75</v>
      </c>
      <c r="D342" s="14" t="s">
        <v>81</v>
      </c>
      <c r="E342" s="14" t="n">
        <v>9</v>
      </c>
      <c r="F342" s="14" t="n">
        <v>1</v>
      </c>
      <c r="G342" s="16" t="n">
        <v>30061095</v>
      </c>
      <c r="H342" s="16" t="n">
        <v>14162703</v>
      </c>
      <c r="I342" s="14" t="s">
        <v>79</v>
      </c>
    </row>
    <row r="343" customFormat="false" ht="15" hidden="false" customHeight="false" outlineLevel="0" collapsed="false">
      <c r="A343" s="14" t="s">
        <v>14</v>
      </c>
      <c r="B343" s="15" t="n">
        <v>46182</v>
      </c>
      <c r="C343" s="14" t="s">
        <v>70</v>
      </c>
      <c r="D343" s="14" t="s">
        <v>76</v>
      </c>
      <c r="E343" s="14" t="n">
        <v>5</v>
      </c>
      <c r="F343" s="14" t="n">
        <v>2</v>
      </c>
      <c r="G343" s="16" t="n">
        <v>26279968</v>
      </c>
      <c r="H343" s="16" t="n">
        <v>13492074</v>
      </c>
      <c r="I343" s="14" t="s">
        <v>186</v>
      </c>
    </row>
    <row r="344" customFormat="false" ht="15" hidden="false" customHeight="false" outlineLevel="0" collapsed="false">
      <c r="A344" s="14" t="s">
        <v>14</v>
      </c>
      <c r="B344" s="15" t="n">
        <v>46182</v>
      </c>
      <c r="C344" s="14" t="s">
        <v>78</v>
      </c>
      <c r="D344" s="14" t="s">
        <v>76</v>
      </c>
      <c r="E344" s="14" t="n">
        <v>1</v>
      </c>
      <c r="F344" s="14" t="n">
        <v>3</v>
      </c>
      <c r="G344" s="16" t="n">
        <v>24180285</v>
      </c>
      <c r="H344" s="16" t="n">
        <v>11104478</v>
      </c>
      <c r="I344" s="14" t="s">
        <v>96</v>
      </c>
    </row>
    <row r="345" customFormat="false" ht="15" hidden="false" customHeight="false" outlineLevel="0" collapsed="false">
      <c r="A345" s="14" t="s">
        <v>14</v>
      </c>
      <c r="B345" s="15" t="n">
        <v>46182</v>
      </c>
      <c r="C345" s="14" t="s">
        <v>125</v>
      </c>
      <c r="D345" s="14" t="s">
        <v>76</v>
      </c>
      <c r="E345" s="14" t="n">
        <v>8</v>
      </c>
      <c r="F345" s="14" t="n">
        <v>4</v>
      </c>
      <c r="G345" s="16" t="n">
        <v>20960082</v>
      </c>
      <c r="H345" s="16" t="n">
        <v>8921705</v>
      </c>
      <c r="I345" s="14" t="s">
        <v>156</v>
      </c>
    </row>
    <row r="346" customFormat="false" ht="15" hidden="false" customHeight="false" outlineLevel="0" collapsed="false">
      <c r="A346" s="14" t="s">
        <v>14</v>
      </c>
      <c r="B346" s="15" t="n">
        <v>46182</v>
      </c>
      <c r="C346" s="14" t="s">
        <v>189</v>
      </c>
      <c r="D346" s="14" t="s">
        <v>71</v>
      </c>
      <c r="E346" s="14" t="n">
        <v>1</v>
      </c>
      <c r="F346" s="14" t="n">
        <v>5</v>
      </c>
      <c r="G346" s="16" t="n">
        <v>19823367</v>
      </c>
      <c r="H346" s="16" t="n">
        <v>11758678</v>
      </c>
      <c r="I346" s="14" t="s">
        <v>138</v>
      </c>
    </row>
    <row r="347" customFormat="false" ht="15" hidden="false" customHeight="false" outlineLevel="0" collapsed="false">
      <c r="A347" s="14" t="s">
        <v>14</v>
      </c>
      <c r="B347" s="15" t="n">
        <v>46182</v>
      </c>
      <c r="C347" s="14" t="s">
        <v>84</v>
      </c>
      <c r="D347" s="14" t="s">
        <v>71</v>
      </c>
      <c r="E347" s="14" t="n">
        <v>9</v>
      </c>
      <c r="F347" s="14" t="n">
        <v>6</v>
      </c>
      <c r="G347" s="16" t="n">
        <v>19513295</v>
      </c>
      <c r="H347" s="16" t="n">
        <v>9680944</v>
      </c>
      <c r="I347" s="14" t="s">
        <v>184</v>
      </c>
    </row>
    <row r="348" customFormat="false" ht="15" hidden="false" customHeight="false" outlineLevel="0" collapsed="false">
      <c r="A348" s="14" t="s">
        <v>14</v>
      </c>
      <c r="B348" s="15" t="n">
        <v>46182</v>
      </c>
      <c r="C348" s="14" t="s">
        <v>82</v>
      </c>
      <c r="D348" s="14" t="s">
        <v>81</v>
      </c>
      <c r="E348" s="14" t="n">
        <v>2</v>
      </c>
      <c r="F348" s="14" t="n">
        <v>7</v>
      </c>
      <c r="G348" s="16" t="n">
        <v>16725881</v>
      </c>
      <c r="H348" s="16" t="n">
        <v>8580305</v>
      </c>
      <c r="I348" s="14" t="s">
        <v>137</v>
      </c>
    </row>
    <row r="349" customFormat="false" ht="15" hidden="false" customHeight="false" outlineLevel="0" collapsed="false">
      <c r="A349" s="14" t="s">
        <v>14</v>
      </c>
      <c r="B349" s="15" t="n">
        <v>46182</v>
      </c>
      <c r="C349" s="14" t="s">
        <v>86</v>
      </c>
      <c r="D349" s="14" t="s">
        <v>71</v>
      </c>
      <c r="E349" s="14" t="n">
        <v>9</v>
      </c>
      <c r="F349" s="14" t="n">
        <v>8</v>
      </c>
      <c r="G349" s="16" t="n">
        <v>11005880</v>
      </c>
      <c r="H349" s="16" t="n">
        <v>5533305</v>
      </c>
      <c r="I349" s="14" t="s">
        <v>166</v>
      </c>
    </row>
    <row r="350" customFormat="false" ht="15" hidden="false" customHeight="false" outlineLevel="0" collapsed="false">
      <c r="A350" s="14" t="s">
        <v>14</v>
      </c>
      <c r="B350" s="15" t="n">
        <v>46182</v>
      </c>
      <c r="C350" s="14" t="s">
        <v>88</v>
      </c>
      <c r="D350" s="14" t="s">
        <v>76</v>
      </c>
      <c r="E350" s="14" t="n">
        <v>9</v>
      </c>
      <c r="F350" s="14" t="n">
        <v>9</v>
      </c>
      <c r="G350" s="16" t="n">
        <v>8848177</v>
      </c>
      <c r="H350" s="16" t="n">
        <v>4567006</v>
      </c>
      <c r="I350" s="14" t="s">
        <v>141</v>
      </c>
    </row>
    <row r="351" customFormat="false" ht="15" hidden="false" customHeight="false" outlineLevel="0" collapsed="false">
      <c r="A351" s="14" t="s">
        <v>14</v>
      </c>
      <c r="B351" s="15" t="n">
        <v>46182</v>
      </c>
      <c r="C351" s="14" t="s">
        <v>90</v>
      </c>
      <c r="D351" s="14" t="s">
        <v>76</v>
      </c>
      <c r="E351" s="14" t="n">
        <v>9</v>
      </c>
      <c r="F351" s="14" t="n">
        <v>10</v>
      </c>
      <c r="G351" s="16" t="n">
        <v>8788475</v>
      </c>
      <c r="H351" s="16" t="n">
        <v>4236705</v>
      </c>
      <c r="I351" s="14" t="s">
        <v>33</v>
      </c>
    </row>
    <row r="352" customFormat="false" ht="15" hidden="false" customHeight="false" outlineLevel="0" collapsed="false">
      <c r="A352" s="14" t="s">
        <v>15</v>
      </c>
      <c r="B352" s="15" t="n">
        <v>46182</v>
      </c>
      <c r="C352" s="14" t="s">
        <v>99</v>
      </c>
      <c r="D352" s="14" t="s">
        <v>76</v>
      </c>
      <c r="E352" s="14" t="n">
        <v>4</v>
      </c>
      <c r="F352" s="14" t="n">
        <v>1</v>
      </c>
      <c r="G352" s="16" t="n">
        <v>34509803</v>
      </c>
      <c r="H352" s="16" t="n">
        <v>15713679</v>
      </c>
      <c r="I352" s="14" t="s">
        <v>161</v>
      </c>
    </row>
    <row r="353" customFormat="false" ht="15" hidden="false" customHeight="false" outlineLevel="0" collapsed="false">
      <c r="A353" s="14" t="s">
        <v>15</v>
      </c>
      <c r="B353" s="15" t="n">
        <v>46182</v>
      </c>
      <c r="C353" s="14" t="s">
        <v>98</v>
      </c>
      <c r="D353" s="14" t="s">
        <v>71</v>
      </c>
      <c r="E353" s="14" t="n">
        <v>6</v>
      </c>
      <c r="F353" s="14" t="n">
        <v>2</v>
      </c>
      <c r="G353" s="16" t="n">
        <v>31209471</v>
      </c>
      <c r="H353" s="16" t="n">
        <v>17744077</v>
      </c>
      <c r="I353" s="14" t="s">
        <v>180</v>
      </c>
    </row>
    <row r="354" customFormat="false" ht="15" hidden="false" customHeight="false" outlineLevel="0" collapsed="false">
      <c r="A354" s="14" t="s">
        <v>15</v>
      </c>
      <c r="B354" s="15" t="n">
        <v>46182</v>
      </c>
      <c r="C354" s="14" t="s">
        <v>91</v>
      </c>
      <c r="D354" s="14" t="s">
        <v>81</v>
      </c>
      <c r="E354" s="14" t="n">
        <v>9</v>
      </c>
      <c r="F354" s="14" t="n">
        <v>3</v>
      </c>
      <c r="G354" s="16" t="n">
        <v>24279797</v>
      </c>
      <c r="H354" s="16" t="n">
        <v>11047239</v>
      </c>
      <c r="I354" s="14" t="s">
        <v>169</v>
      </c>
    </row>
    <row r="355" customFormat="false" ht="15" hidden="false" customHeight="false" outlineLevel="0" collapsed="false">
      <c r="A355" s="14" t="s">
        <v>15</v>
      </c>
      <c r="B355" s="15" t="n">
        <v>46182</v>
      </c>
      <c r="C355" s="14" t="s">
        <v>93</v>
      </c>
      <c r="D355" s="14" t="s">
        <v>76</v>
      </c>
      <c r="E355" s="14" t="n">
        <v>1</v>
      </c>
      <c r="F355" s="14" t="n">
        <v>4</v>
      </c>
      <c r="G355" s="16" t="n">
        <v>23856571</v>
      </c>
      <c r="H355" s="16" t="n">
        <v>13121926</v>
      </c>
      <c r="I355" s="14" t="s">
        <v>181</v>
      </c>
    </row>
    <row r="356" customFormat="false" ht="15" hidden="false" customHeight="false" outlineLevel="0" collapsed="false">
      <c r="A356" s="14" t="s">
        <v>15</v>
      </c>
      <c r="B356" s="15" t="n">
        <v>46182</v>
      </c>
      <c r="C356" s="14" t="s">
        <v>95</v>
      </c>
      <c r="D356" s="14" t="s">
        <v>76</v>
      </c>
      <c r="E356" s="14" t="n">
        <v>2</v>
      </c>
      <c r="F356" s="14" t="n">
        <v>5</v>
      </c>
      <c r="G356" s="16" t="n">
        <v>21313273</v>
      </c>
      <c r="H356" s="16" t="n">
        <v>9012574</v>
      </c>
      <c r="I356" s="14" t="s">
        <v>37</v>
      </c>
    </row>
    <row r="357" customFormat="false" ht="15" hidden="false" customHeight="false" outlineLevel="0" collapsed="false">
      <c r="A357" s="14" t="s">
        <v>15</v>
      </c>
      <c r="B357" s="15" t="n">
        <v>46182</v>
      </c>
      <c r="C357" s="14" t="s">
        <v>97</v>
      </c>
      <c r="D357" s="14" t="s">
        <v>76</v>
      </c>
      <c r="E357" s="14" t="n">
        <v>9</v>
      </c>
      <c r="F357" s="14" t="n">
        <v>6</v>
      </c>
      <c r="G357" s="16" t="n">
        <v>20476035</v>
      </c>
      <c r="H357" s="16" t="n">
        <v>11646461</v>
      </c>
      <c r="I357" s="14" t="s">
        <v>159</v>
      </c>
    </row>
    <row r="358" customFormat="false" ht="15" hidden="false" customHeight="false" outlineLevel="0" collapsed="false">
      <c r="A358" s="14" t="s">
        <v>15</v>
      </c>
      <c r="B358" s="15" t="n">
        <v>46182</v>
      </c>
      <c r="C358" s="14" t="s">
        <v>101</v>
      </c>
      <c r="D358" s="14" t="s">
        <v>81</v>
      </c>
      <c r="E358" s="14" t="n">
        <v>4</v>
      </c>
      <c r="F358" s="14" t="n">
        <v>7</v>
      </c>
      <c r="G358" s="16" t="n">
        <v>19219304</v>
      </c>
      <c r="H358" s="16" t="n">
        <v>9497988</v>
      </c>
      <c r="I358" s="14" t="s">
        <v>152</v>
      </c>
    </row>
    <row r="359" customFormat="false" ht="15" hidden="false" customHeight="false" outlineLevel="0" collapsed="false">
      <c r="A359" s="14" t="s">
        <v>15</v>
      </c>
      <c r="B359" s="15" t="n">
        <v>46182</v>
      </c>
      <c r="C359" s="14" t="s">
        <v>103</v>
      </c>
      <c r="D359" s="14" t="s">
        <v>81</v>
      </c>
      <c r="E359" s="14" t="n">
        <v>3</v>
      </c>
      <c r="F359" s="14" t="n">
        <v>8</v>
      </c>
      <c r="G359" s="16" t="n">
        <v>18078085</v>
      </c>
      <c r="H359" s="16" t="n">
        <v>8185919</v>
      </c>
      <c r="I359" s="14" t="s">
        <v>79</v>
      </c>
    </row>
    <row r="360" customFormat="false" ht="15" hidden="false" customHeight="false" outlineLevel="0" collapsed="false">
      <c r="A360" s="14" t="s">
        <v>15</v>
      </c>
      <c r="B360" s="15" t="n">
        <v>46182</v>
      </c>
      <c r="C360" s="14" t="s">
        <v>105</v>
      </c>
      <c r="D360" s="14" t="s">
        <v>71</v>
      </c>
      <c r="E360" s="14" t="n">
        <v>9</v>
      </c>
      <c r="F360" s="14" t="n">
        <v>9</v>
      </c>
      <c r="G360" s="16" t="n">
        <v>7657978</v>
      </c>
      <c r="H360" s="16" t="n">
        <v>4400771</v>
      </c>
      <c r="I360" s="14" t="s">
        <v>72</v>
      </c>
    </row>
    <row r="361" customFormat="false" ht="15" hidden="false" customHeight="false" outlineLevel="0" collapsed="false">
      <c r="A361" s="14" t="s">
        <v>15</v>
      </c>
      <c r="B361" s="15" t="n">
        <v>46182</v>
      </c>
      <c r="C361" s="14" t="s">
        <v>107</v>
      </c>
      <c r="D361" s="14" t="s">
        <v>76</v>
      </c>
      <c r="E361" s="14" t="n">
        <v>9</v>
      </c>
      <c r="F361" s="14" t="n">
        <v>10</v>
      </c>
      <c r="G361" s="16" t="n">
        <v>5761881</v>
      </c>
      <c r="H361" s="16" t="n">
        <v>2906042</v>
      </c>
      <c r="I361" s="14" t="s">
        <v>37</v>
      </c>
    </row>
    <row r="362" customFormat="false" ht="15" hidden="false" customHeight="false" outlineLevel="0" collapsed="false">
      <c r="A362" s="14" t="s">
        <v>12</v>
      </c>
      <c r="B362" s="15" t="n">
        <v>46189</v>
      </c>
      <c r="C362" s="14" t="s">
        <v>32</v>
      </c>
      <c r="D362" s="14"/>
      <c r="E362" s="14" t="n">
        <v>2</v>
      </c>
      <c r="F362" s="14" t="n">
        <v>1</v>
      </c>
      <c r="G362" s="16" t="n">
        <v>29774515</v>
      </c>
      <c r="H362" s="16" t="n">
        <v>15260707</v>
      </c>
      <c r="I362" s="14" t="s">
        <v>63</v>
      </c>
    </row>
    <row r="363" customFormat="false" ht="15" hidden="false" customHeight="false" outlineLevel="0" collapsed="false">
      <c r="A363" s="14" t="s">
        <v>12</v>
      </c>
      <c r="B363" s="15" t="n">
        <v>46189</v>
      </c>
      <c r="C363" s="14" t="s">
        <v>34</v>
      </c>
      <c r="D363" s="14"/>
      <c r="E363" s="14" t="n">
        <v>10</v>
      </c>
      <c r="F363" s="14" t="n">
        <v>2</v>
      </c>
      <c r="G363" s="16" t="n">
        <v>26035979</v>
      </c>
      <c r="H363" s="16" t="n">
        <v>13736270</v>
      </c>
      <c r="I363" s="14" t="s">
        <v>66</v>
      </c>
    </row>
    <row r="364" customFormat="false" ht="15" hidden="false" customHeight="false" outlineLevel="0" collapsed="false">
      <c r="A364" s="14" t="s">
        <v>12</v>
      </c>
      <c r="B364" s="15" t="n">
        <v>46189</v>
      </c>
      <c r="C364" s="14" t="s">
        <v>38</v>
      </c>
      <c r="D364" s="14"/>
      <c r="E364" s="14" t="n">
        <v>10</v>
      </c>
      <c r="F364" s="14" t="n">
        <v>3</v>
      </c>
      <c r="G364" s="16" t="n">
        <v>25592326</v>
      </c>
      <c r="H364" s="16" t="n">
        <v>14306997</v>
      </c>
      <c r="I364" s="14" t="s">
        <v>157</v>
      </c>
    </row>
    <row r="365" customFormat="false" ht="15" hidden="false" customHeight="false" outlineLevel="0" collapsed="false">
      <c r="A365" s="14" t="s">
        <v>12</v>
      </c>
      <c r="B365" s="15" t="n">
        <v>46189</v>
      </c>
      <c r="C365" s="14" t="s">
        <v>136</v>
      </c>
      <c r="D365" s="14"/>
      <c r="E365" s="14" t="n">
        <v>8</v>
      </c>
      <c r="F365" s="14" t="n">
        <v>4</v>
      </c>
      <c r="G365" s="16" t="n">
        <v>25335934</v>
      </c>
      <c r="H365" s="16" t="n">
        <v>10808833</v>
      </c>
      <c r="I365" s="14" t="s">
        <v>156</v>
      </c>
    </row>
    <row r="366" customFormat="false" ht="15" hidden="false" customHeight="false" outlineLevel="0" collapsed="false">
      <c r="A366" s="14" t="s">
        <v>12</v>
      </c>
      <c r="B366" s="15" t="n">
        <v>46189</v>
      </c>
      <c r="C366" s="14" t="s">
        <v>44</v>
      </c>
      <c r="D366" s="14"/>
      <c r="E366" s="14" t="n">
        <v>10</v>
      </c>
      <c r="F366" s="14" t="n">
        <v>5</v>
      </c>
      <c r="G366" s="16" t="n">
        <v>20476658</v>
      </c>
      <c r="H366" s="16" t="n">
        <v>10246805</v>
      </c>
      <c r="I366" s="14" t="s">
        <v>126</v>
      </c>
    </row>
    <row r="367" customFormat="false" ht="15" hidden="false" customHeight="false" outlineLevel="0" collapsed="false">
      <c r="A367" s="14" t="s">
        <v>12</v>
      </c>
      <c r="B367" s="15" t="n">
        <v>46189</v>
      </c>
      <c r="C367" s="14" t="s">
        <v>40</v>
      </c>
      <c r="D367" s="14"/>
      <c r="E367" s="14" t="n">
        <v>3</v>
      </c>
      <c r="F367" s="14" t="n">
        <v>6</v>
      </c>
      <c r="G367" s="16" t="n">
        <v>19268922</v>
      </c>
      <c r="H367" s="16" t="n">
        <v>8400664</v>
      </c>
      <c r="I367" s="14" t="s">
        <v>176</v>
      </c>
    </row>
    <row r="368" customFormat="false" ht="15" hidden="false" customHeight="false" outlineLevel="0" collapsed="false">
      <c r="A368" s="14" t="s">
        <v>12</v>
      </c>
      <c r="B368" s="15" t="n">
        <v>46189</v>
      </c>
      <c r="C368" s="14" t="s">
        <v>46</v>
      </c>
      <c r="D368" s="14"/>
      <c r="E368" s="14" t="n">
        <v>1</v>
      </c>
      <c r="F368" s="14" t="n">
        <v>7</v>
      </c>
      <c r="G368" s="16" t="n">
        <v>11807944</v>
      </c>
      <c r="H368" s="16" t="n">
        <v>4921896</v>
      </c>
      <c r="I368" s="14" t="s">
        <v>41</v>
      </c>
    </row>
    <row r="369" customFormat="false" ht="15" hidden="false" customHeight="false" outlineLevel="0" collapsed="false">
      <c r="A369" s="14" t="s">
        <v>12</v>
      </c>
      <c r="B369" s="15" t="n">
        <v>46189</v>
      </c>
      <c r="C369" s="14" t="s">
        <v>114</v>
      </c>
      <c r="D369" s="14"/>
      <c r="E369" s="14" t="n">
        <v>6</v>
      </c>
      <c r="F369" s="14" t="n">
        <v>8</v>
      </c>
      <c r="G369" s="16" t="n">
        <v>8254767</v>
      </c>
      <c r="H369" s="16" t="n">
        <v>3570673</v>
      </c>
      <c r="I369" s="14" t="s">
        <v>135</v>
      </c>
    </row>
    <row r="370" customFormat="false" ht="15" hidden="false" customHeight="false" outlineLevel="0" collapsed="false">
      <c r="A370" s="14" t="s">
        <v>12</v>
      </c>
      <c r="B370" s="15" t="n">
        <v>46189</v>
      </c>
      <c r="C370" s="14" t="s">
        <v>48</v>
      </c>
      <c r="D370" s="14"/>
      <c r="E370" s="14" t="n">
        <v>10</v>
      </c>
      <c r="F370" s="14" t="n">
        <v>9</v>
      </c>
      <c r="G370" s="16" t="n">
        <v>8196122</v>
      </c>
      <c r="H370" s="16" t="n">
        <v>3522355</v>
      </c>
      <c r="I370" s="14" t="s">
        <v>45</v>
      </c>
    </row>
    <row r="371" customFormat="false" ht="15" hidden="false" customHeight="false" outlineLevel="0" collapsed="false">
      <c r="A371" s="14" t="s">
        <v>12</v>
      </c>
      <c r="B371" s="15" t="n">
        <v>46189</v>
      </c>
      <c r="C371" s="14" t="s">
        <v>50</v>
      </c>
      <c r="D371" s="14"/>
      <c r="E371" s="14" t="n">
        <v>5</v>
      </c>
      <c r="F371" s="14" t="n">
        <v>10</v>
      </c>
      <c r="G371" s="16" t="n">
        <v>5053796</v>
      </c>
      <c r="H371" s="16" t="n">
        <v>2567013</v>
      </c>
      <c r="I371" s="14" t="s">
        <v>188</v>
      </c>
    </row>
    <row r="372" customFormat="false" ht="15" hidden="false" customHeight="false" outlineLevel="0" collapsed="false">
      <c r="A372" s="14" t="s">
        <v>13</v>
      </c>
      <c r="B372" s="15" t="n">
        <v>46189</v>
      </c>
      <c r="C372" s="14" t="s">
        <v>52</v>
      </c>
      <c r="D372" s="14"/>
      <c r="E372" s="14" t="n">
        <v>10</v>
      </c>
      <c r="F372" s="14" t="n">
        <v>1</v>
      </c>
      <c r="G372" s="16" t="n">
        <v>30252978</v>
      </c>
      <c r="H372" s="16" t="n">
        <v>12822129</v>
      </c>
      <c r="I372" s="14" t="s">
        <v>156</v>
      </c>
    </row>
    <row r="373" customFormat="false" ht="15" hidden="false" customHeight="false" outlineLevel="0" collapsed="false">
      <c r="A373" s="14" t="s">
        <v>13</v>
      </c>
      <c r="B373" s="15" t="n">
        <v>46189</v>
      </c>
      <c r="C373" s="14" t="s">
        <v>56</v>
      </c>
      <c r="D373" s="14"/>
      <c r="E373" s="14" t="n">
        <v>3</v>
      </c>
      <c r="F373" s="14" t="n">
        <v>2</v>
      </c>
      <c r="G373" s="16" t="n">
        <v>25523160</v>
      </c>
      <c r="H373" s="16" t="n">
        <v>11257088</v>
      </c>
      <c r="I373" s="14" t="s">
        <v>130</v>
      </c>
    </row>
    <row r="374" customFormat="false" ht="15" hidden="false" customHeight="false" outlineLevel="0" collapsed="false">
      <c r="A374" s="14" t="s">
        <v>13</v>
      </c>
      <c r="B374" s="15" t="n">
        <v>46189</v>
      </c>
      <c r="C374" s="14" t="s">
        <v>58</v>
      </c>
      <c r="D374" s="14"/>
      <c r="E374" s="14" t="n">
        <v>10</v>
      </c>
      <c r="F374" s="14" t="n">
        <v>3</v>
      </c>
      <c r="G374" s="16" t="n">
        <v>24667118</v>
      </c>
      <c r="H374" s="16" t="n">
        <v>11499481</v>
      </c>
      <c r="I374" s="14" t="s">
        <v>51</v>
      </c>
    </row>
    <row r="375" customFormat="false" ht="15" hidden="false" customHeight="false" outlineLevel="0" collapsed="false">
      <c r="A375" s="14" t="s">
        <v>13</v>
      </c>
      <c r="B375" s="15" t="n">
        <v>46189</v>
      </c>
      <c r="C375" s="14" t="s">
        <v>64</v>
      </c>
      <c r="D375" s="14"/>
      <c r="E375" s="14" t="n">
        <v>4</v>
      </c>
      <c r="F375" s="14" t="n">
        <v>4</v>
      </c>
      <c r="G375" s="16" t="n">
        <v>22814240</v>
      </c>
      <c r="H375" s="16" t="n">
        <v>13108846</v>
      </c>
      <c r="I375" s="14" t="s">
        <v>152</v>
      </c>
    </row>
    <row r="376" customFormat="false" ht="15" hidden="false" customHeight="false" outlineLevel="0" collapsed="false">
      <c r="A376" s="14" t="s">
        <v>13</v>
      </c>
      <c r="B376" s="15" t="n">
        <v>46189</v>
      </c>
      <c r="C376" s="14" t="s">
        <v>54</v>
      </c>
      <c r="D376" s="14"/>
      <c r="E376" s="14" t="n">
        <v>10</v>
      </c>
      <c r="F376" s="14" t="n">
        <v>5</v>
      </c>
      <c r="G376" s="16" t="n">
        <v>21623532</v>
      </c>
      <c r="H376" s="16" t="n">
        <v>9612207</v>
      </c>
      <c r="I376" s="14" t="s">
        <v>141</v>
      </c>
    </row>
    <row r="377" customFormat="false" ht="15" hidden="false" customHeight="false" outlineLevel="0" collapsed="false">
      <c r="A377" s="14" t="s">
        <v>13</v>
      </c>
      <c r="B377" s="15" t="n">
        <v>46189</v>
      </c>
      <c r="C377" s="14" t="s">
        <v>62</v>
      </c>
      <c r="D377" s="14"/>
      <c r="E377" s="14" t="n">
        <v>6</v>
      </c>
      <c r="F377" s="14" t="n">
        <v>6</v>
      </c>
      <c r="G377" s="16" t="n">
        <v>20758700</v>
      </c>
      <c r="H377" s="16" t="n">
        <v>8906912</v>
      </c>
      <c r="I377" s="14" t="s">
        <v>167</v>
      </c>
    </row>
    <row r="378" customFormat="false" ht="15" hidden="false" customHeight="false" outlineLevel="0" collapsed="false">
      <c r="A378" s="14" t="s">
        <v>13</v>
      </c>
      <c r="B378" s="15" t="n">
        <v>46189</v>
      </c>
      <c r="C378" s="14" t="s">
        <v>65</v>
      </c>
      <c r="D378" s="14"/>
      <c r="E378" s="14" t="n">
        <v>2</v>
      </c>
      <c r="F378" s="14" t="n">
        <v>7</v>
      </c>
      <c r="G378" s="16" t="n">
        <v>16093211</v>
      </c>
      <c r="H378" s="16" t="n">
        <v>9399996</v>
      </c>
      <c r="I378" s="14" t="s">
        <v>66</v>
      </c>
    </row>
    <row r="379" customFormat="false" ht="15" hidden="false" customHeight="false" outlineLevel="0" collapsed="false">
      <c r="A379" s="14" t="s">
        <v>13</v>
      </c>
      <c r="B379" s="15" t="n">
        <v>46189</v>
      </c>
      <c r="C379" s="14" t="s">
        <v>67</v>
      </c>
      <c r="D379" s="14"/>
      <c r="E379" s="14" t="n">
        <v>2</v>
      </c>
      <c r="F379" s="14" t="n">
        <v>8</v>
      </c>
      <c r="G379" s="16" t="n">
        <v>10696540</v>
      </c>
      <c r="H379" s="16" t="n">
        <v>4750683</v>
      </c>
      <c r="I379" s="14" t="s">
        <v>35</v>
      </c>
    </row>
    <row r="380" customFormat="false" ht="15" hidden="false" customHeight="false" outlineLevel="0" collapsed="false">
      <c r="A380" s="14" t="s">
        <v>13</v>
      </c>
      <c r="B380" s="15" t="n">
        <v>46189</v>
      </c>
      <c r="C380" s="14" t="s">
        <v>69</v>
      </c>
      <c r="D380" s="14"/>
      <c r="E380" s="14" t="n">
        <v>1</v>
      </c>
      <c r="F380" s="14" t="n">
        <v>9</v>
      </c>
      <c r="G380" s="16" t="n">
        <v>8903283</v>
      </c>
      <c r="H380" s="16" t="n">
        <v>4978893</v>
      </c>
      <c r="I380" s="14" t="s">
        <v>68</v>
      </c>
    </row>
    <row r="381" customFormat="false" ht="15" hidden="false" customHeight="false" outlineLevel="0" collapsed="false">
      <c r="A381" s="14" t="s">
        <v>13</v>
      </c>
      <c r="B381" s="15" t="n">
        <v>46189</v>
      </c>
      <c r="C381" s="14" t="s">
        <v>144</v>
      </c>
      <c r="D381" s="14"/>
      <c r="E381" s="14" t="n">
        <v>8</v>
      </c>
      <c r="F381" s="14" t="n">
        <v>10</v>
      </c>
      <c r="G381" s="16" t="n">
        <v>7053678</v>
      </c>
      <c r="H381" s="16" t="n">
        <v>2974208</v>
      </c>
      <c r="I381" s="14" t="s">
        <v>137</v>
      </c>
    </row>
    <row r="382" customFormat="false" ht="15" hidden="false" customHeight="false" outlineLevel="0" collapsed="false">
      <c r="A382" s="14" t="s">
        <v>14</v>
      </c>
      <c r="B382" s="15" t="n">
        <v>46189</v>
      </c>
      <c r="C382" s="14" t="s">
        <v>125</v>
      </c>
      <c r="D382" s="14" t="s">
        <v>81</v>
      </c>
      <c r="E382" s="14" t="n">
        <v>9</v>
      </c>
      <c r="F382" s="14" t="n">
        <v>1</v>
      </c>
      <c r="G382" s="16" t="n">
        <v>28958932</v>
      </c>
      <c r="H382" s="16" t="n">
        <v>13454742</v>
      </c>
      <c r="I382" s="14" t="s">
        <v>112</v>
      </c>
    </row>
    <row r="383" customFormat="false" ht="15" hidden="false" customHeight="false" outlineLevel="0" collapsed="false">
      <c r="A383" s="14" t="s">
        <v>14</v>
      </c>
      <c r="B383" s="15" t="n">
        <v>46189</v>
      </c>
      <c r="C383" s="14" t="s">
        <v>80</v>
      </c>
      <c r="D383" s="14" t="s">
        <v>71</v>
      </c>
      <c r="E383" s="14" t="n">
        <v>1</v>
      </c>
      <c r="F383" s="14" t="n">
        <v>2</v>
      </c>
      <c r="G383" s="16" t="n">
        <v>19212013</v>
      </c>
      <c r="H383" s="16" t="n">
        <v>9957120</v>
      </c>
      <c r="I383" s="14" t="s">
        <v>177</v>
      </c>
    </row>
    <row r="384" customFormat="false" ht="15" hidden="false" customHeight="false" outlineLevel="0" collapsed="false">
      <c r="A384" s="14" t="s">
        <v>14</v>
      </c>
      <c r="B384" s="15" t="n">
        <v>46189</v>
      </c>
      <c r="C384" s="14" t="s">
        <v>82</v>
      </c>
      <c r="D384" s="14" t="s">
        <v>76</v>
      </c>
      <c r="E384" s="14" t="n">
        <v>3</v>
      </c>
      <c r="F384" s="14" t="n">
        <v>3</v>
      </c>
      <c r="G384" s="16" t="n">
        <v>16284372</v>
      </c>
      <c r="H384" s="16" t="n">
        <v>6963068</v>
      </c>
      <c r="I384" s="14" t="s">
        <v>89</v>
      </c>
    </row>
    <row r="385" customFormat="false" ht="15" hidden="false" customHeight="false" outlineLevel="0" collapsed="false">
      <c r="A385" s="14" t="s">
        <v>14</v>
      </c>
      <c r="B385" s="15" t="n">
        <v>46189</v>
      </c>
      <c r="C385" s="14" t="s">
        <v>75</v>
      </c>
      <c r="D385" s="14" t="s">
        <v>81</v>
      </c>
      <c r="E385" s="14" t="n">
        <v>10</v>
      </c>
      <c r="F385" s="14" t="n">
        <v>4</v>
      </c>
      <c r="G385" s="16" t="n">
        <v>16099019</v>
      </c>
      <c r="H385" s="16" t="n">
        <v>7371844</v>
      </c>
      <c r="I385" s="14" t="s">
        <v>55</v>
      </c>
    </row>
    <row r="386" customFormat="false" ht="15" hidden="false" customHeight="false" outlineLevel="0" collapsed="false">
      <c r="A386" s="14" t="s">
        <v>14</v>
      </c>
      <c r="B386" s="15" t="n">
        <v>46189</v>
      </c>
      <c r="C386" s="14" t="s">
        <v>70</v>
      </c>
      <c r="D386" s="14" t="s">
        <v>71</v>
      </c>
      <c r="E386" s="14" t="n">
        <v>6</v>
      </c>
      <c r="F386" s="14" t="n">
        <v>5</v>
      </c>
      <c r="G386" s="16" t="n">
        <v>15785304</v>
      </c>
      <c r="H386" s="16" t="n">
        <v>9405921</v>
      </c>
      <c r="I386" s="14" t="s">
        <v>108</v>
      </c>
    </row>
    <row r="387" customFormat="false" ht="15" hidden="false" customHeight="false" outlineLevel="0" collapsed="false">
      <c r="A387" s="14" t="s">
        <v>14</v>
      </c>
      <c r="B387" s="15" t="n">
        <v>46189</v>
      </c>
      <c r="C387" s="14" t="s">
        <v>84</v>
      </c>
      <c r="D387" s="14" t="s">
        <v>76</v>
      </c>
      <c r="E387" s="14" t="n">
        <v>10</v>
      </c>
      <c r="F387" s="14" t="n">
        <v>6</v>
      </c>
      <c r="G387" s="16" t="n">
        <v>13676393</v>
      </c>
      <c r="H387" s="16" t="n">
        <v>7768691</v>
      </c>
      <c r="I387" s="14" t="s">
        <v>79</v>
      </c>
    </row>
    <row r="388" customFormat="false" ht="15" hidden="false" customHeight="false" outlineLevel="0" collapsed="false">
      <c r="A388" s="14" t="s">
        <v>14</v>
      </c>
      <c r="B388" s="15" t="n">
        <v>46189</v>
      </c>
      <c r="C388" s="14" t="s">
        <v>78</v>
      </c>
      <c r="D388" s="14" t="s">
        <v>76</v>
      </c>
      <c r="E388" s="14" t="n">
        <v>2</v>
      </c>
      <c r="F388" s="14" t="n">
        <v>7</v>
      </c>
      <c r="G388" s="16" t="n">
        <v>13676052</v>
      </c>
      <c r="H388" s="16" t="n">
        <v>6938416</v>
      </c>
      <c r="I388" s="14" t="s">
        <v>33</v>
      </c>
    </row>
    <row r="389" customFormat="false" ht="15" hidden="false" customHeight="false" outlineLevel="0" collapsed="false">
      <c r="A389" s="14" t="s">
        <v>14</v>
      </c>
      <c r="B389" s="15" t="n">
        <v>46189</v>
      </c>
      <c r="C389" s="14" t="s">
        <v>86</v>
      </c>
      <c r="D389" s="14" t="s">
        <v>81</v>
      </c>
      <c r="E389" s="14" t="n">
        <v>10</v>
      </c>
      <c r="F389" s="14" t="n">
        <v>8</v>
      </c>
      <c r="G389" s="16" t="n">
        <v>9422993</v>
      </c>
      <c r="H389" s="16" t="n">
        <v>4212620</v>
      </c>
      <c r="I389" s="14" t="s">
        <v>179</v>
      </c>
    </row>
    <row r="390" customFormat="false" ht="15" hidden="false" customHeight="false" outlineLevel="0" collapsed="false">
      <c r="A390" s="14" t="s">
        <v>14</v>
      </c>
      <c r="B390" s="15" t="n">
        <v>46189</v>
      </c>
      <c r="C390" s="14" t="s">
        <v>90</v>
      </c>
      <c r="D390" s="14" t="s">
        <v>76</v>
      </c>
      <c r="E390" s="14" t="n">
        <v>10</v>
      </c>
      <c r="F390" s="14" t="n">
        <v>9</v>
      </c>
      <c r="G390" s="16" t="n">
        <v>7954324</v>
      </c>
      <c r="H390" s="16" t="n">
        <v>3547590</v>
      </c>
      <c r="I390" s="14" t="s">
        <v>94</v>
      </c>
    </row>
    <row r="391" customFormat="false" ht="15" hidden="false" customHeight="false" outlineLevel="0" collapsed="false">
      <c r="A391" s="14" t="s">
        <v>14</v>
      </c>
      <c r="B391" s="15" t="n">
        <v>46189</v>
      </c>
      <c r="C391" s="14" t="s">
        <v>88</v>
      </c>
      <c r="D391" s="14" t="s">
        <v>76</v>
      </c>
      <c r="E391" s="14" t="n">
        <v>10</v>
      </c>
      <c r="F391" s="14" t="n">
        <v>10</v>
      </c>
      <c r="G391" s="16" t="n">
        <v>6914059</v>
      </c>
      <c r="H391" s="16" t="n">
        <v>3800379</v>
      </c>
      <c r="I391" s="14" t="s">
        <v>104</v>
      </c>
    </row>
    <row r="392" customFormat="false" ht="15" hidden="false" customHeight="false" outlineLevel="0" collapsed="false">
      <c r="A392" s="14" t="s">
        <v>15</v>
      </c>
      <c r="B392" s="15" t="n">
        <v>46189</v>
      </c>
      <c r="C392" s="14" t="s">
        <v>101</v>
      </c>
      <c r="D392" s="14" t="s">
        <v>81</v>
      </c>
      <c r="E392" s="14" t="n">
        <v>5</v>
      </c>
      <c r="F392" s="14" t="n">
        <v>1</v>
      </c>
      <c r="G392" s="16" t="n">
        <v>31133266</v>
      </c>
      <c r="H392" s="16" t="n">
        <v>13243638</v>
      </c>
      <c r="I392" s="14" t="s">
        <v>53</v>
      </c>
    </row>
    <row r="393" customFormat="false" ht="15" hidden="false" customHeight="false" outlineLevel="0" collapsed="false">
      <c r="A393" s="14" t="s">
        <v>15</v>
      </c>
      <c r="B393" s="15" t="n">
        <v>46189</v>
      </c>
      <c r="C393" s="14" t="s">
        <v>99</v>
      </c>
      <c r="D393" s="14" t="s">
        <v>81</v>
      </c>
      <c r="E393" s="14" t="n">
        <v>5</v>
      </c>
      <c r="F393" s="14" t="n">
        <v>2</v>
      </c>
      <c r="G393" s="16" t="n">
        <v>30066345</v>
      </c>
      <c r="H393" s="16" t="n">
        <v>15395125</v>
      </c>
      <c r="I393" s="14" t="s">
        <v>128</v>
      </c>
    </row>
    <row r="394" customFormat="false" ht="15" hidden="false" customHeight="false" outlineLevel="0" collapsed="false">
      <c r="A394" s="14" t="s">
        <v>15</v>
      </c>
      <c r="B394" s="15" t="n">
        <v>46189</v>
      </c>
      <c r="C394" s="14" t="s">
        <v>97</v>
      </c>
      <c r="D394" s="14" t="s">
        <v>81</v>
      </c>
      <c r="E394" s="14" t="n">
        <v>10</v>
      </c>
      <c r="F394" s="14" t="n">
        <v>3</v>
      </c>
      <c r="G394" s="16" t="n">
        <v>24119906</v>
      </c>
      <c r="H394" s="16" t="n">
        <v>11928936</v>
      </c>
      <c r="I394" s="14" t="s">
        <v>155</v>
      </c>
    </row>
    <row r="395" customFormat="false" ht="15" hidden="false" customHeight="false" outlineLevel="0" collapsed="false">
      <c r="A395" s="14" t="s">
        <v>15</v>
      </c>
      <c r="B395" s="15" t="n">
        <v>46189</v>
      </c>
      <c r="C395" s="14" t="s">
        <v>95</v>
      </c>
      <c r="D395" s="14" t="s">
        <v>81</v>
      </c>
      <c r="E395" s="14" t="n">
        <v>3</v>
      </c>
      <c r="F395" s="14" t="n">
        <v>4</v>
      </c>
      <c r="G395" s="16" t="n">
        <v>22588478</v>
      </c>
      <c r="H395" s="16" t="n">
        <v>10010827</v>
      </c>
      <c r="I395" s="14" t="s">
        <v>59</v>
      </c>
    </row>
    <row r="396" customFormat="false" ht="15" hidden="false" customHeight="false" outlineLevel="0" collapsed="false">
      <c r="A396" s="14" t="s">
        <v>15</v>
      </c>
      <c r="B396" s="15" t="n">
        <v>46189</v>
      </c>
      <c r="C396" s="14" t="s">
        <v>98</v>
      </c>
      <c r="D396" s="14" t="s">
        <v>76</v>
      </c>
      <c r="E396" s="14" t="n">
        <v>7</v>
      </c>
      <c r="F396" s="14" t="n">
        <v>5</v>
      </c>
      <c r="G396" s="16" t="n">
        <v>20758447</v>
      </c>
      <c r="H396" s="16" t="n">
        <v>11341654</v>
      </c>
      <c r="I396" s="14" t="s">
        <v>87</v>
      </c>
    </row>
    <row r="397" customFormat="false" ht="15" hidden="false" customHeight="false" outlineLevel="0" collapsed="false">
      <c r="A397" s="14" t="s">
        <v>15</v>
      </c>
      <c r="B397" s="15" t="n">
        <v>46189</v>
      </c>
      <c r="C397" s="14" t="s">
        <v>103</v>
      </c>
      <c r="D397" s="14" t="s">
        <v>71</v>
      </c>
      <c r="E397" s="14" t="n">
        <v>4</v>
      </c>
      <c r="F397" s="14" t="n">
        <v>6</v>
      </c>
      <c r="G397" s="16" t="n">
        <v>19935816</v>
      </c>
      <c r="H397" s="16" t="n">
        <v>11133155</v>
      </c>
      <c r="I397" s="14" t="s">
        <v>124</v>
      </c>
    </row>
    <row r="398" customFormat="false" ht="15" hidden="false" customHeight="false" outlineLevel="0" collapsed="false">
      <c r="A398" s="14" t="s">
        <v>15</v>
      </c>
      <c r="B398" s="15" t="n">
        <v>46189</v>
      </c>
      <c r="C398" s="14" t="s">
        <v>93</v>
      </c>
      <c r="D398" s="14" t="s">
        <v>71</v>
      </c>
      <c r="E398" s="14" t="n">
        <v>2</v>
      </c>
      <c r="F398" s="14" t="n">
        <v>7</v>
      </c>
      <c r="G398" s="16" t="n">
        <v>15858099</v>
      </c>
      <c r="H398" s="16" t="n">
        <v>7912348</v>
      </c>
      <c r="I398" s="14" t="s">
        <v>45</v>
      </c>
    </row>
    <row r="399" customFormat="false" ht="15" hidden="false" customHeight="false" outlineLevel="0" collapsed="false">
      <c r="A399" s="14" t="s">
        <v>15</v>
      </c>
      <c r="B399" s="15" t="n">
        <v>46189</v>
      </c>
      <c r="C399" s="14" t="s">
        <v>133</v>
      </c>
      <c r="D399" s="14" t="s">
        <v>81</v>
      </c>
      <c r="E399" s="14" t="n">
        <v>1</v>
      </c>
      <c r="F399" s="14" t="n">
        <v>8</v>
      </c>
      <c r="G399" s="16" t="n">
        <v>15247871</v>
      </c>
      <c r="H399" s="16" t="n">
        <v>7957840</v>
      </c>
      <c r="I399" s="14" t="s">
        <v>170</v>
      </c>
    </row>
    <row r="400" customFormat="false" ht="15" hidden="false" customHeight="false" outlineLevel="0" collapsed="false">
      <c r="A400" s="14" t="s">
        <v>15</v>
      </c>
      <c r="B400" s="15" t="n">
        <v>46189</v>
      </c>
      <c r="C400" s="14" t="s">
        <v>105</v>
      </c>
      <c r="D400" s="14" t="s">
        <v>76</v>
      </c>
      <c r="E400" s="14" t="n">
        <v>10</v>
      </c>
      <c r="F400" s="14" t="n">
        <v>9</v>
      </c>
      <c r="G400" s="16" t="n">
        <v>12818433</v>
      </c>
      <c r="H400" s="16" t="n">
        <v>5500238</v>
      </c>
      <c r="I400" s="14" t="s">
        <v>37</v>
      </c>
    </row>
    <row r="401" customFormat="false" ht="15" hidden="false" customHeight="false" outlineLevel="0" collapsed="false">
      <c r="A401" s="14" t="s">
        <v>15</v>
      </c>
      <c r="B401" s="15" t="n">
        <v>46189</v>
      </c>
      <c r="C401" s="14" t="s">
        <v>107</v>
      </c>
      <c r="D401" s="14" t="s">
        <v>81</v>
      </c>
      <c r="E401" s="14" t="n">
        <v>10</v>
      </c>
      <c r="F401" s="14" t="n">
        <v>10</v>
      </c>
      <c r="G401" s="16" t="n">
        <v>6489088</v>
      </c>
      <c r="H401" s="16" t="n">
        <v>2964111</v>
      </c>
      <c r="I401" s="1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5"/>
  </cols>
  <sheetData>
    <row r="1" customFormat="false" ht="27.75" hidden="false" customHeight="true" outlineLevel="0" collapsed="false">
      <c r="B1" s="17" t="s">
        <v>190</v>
      </c>
    </row>
    <row r="3" customFormat="false" ht="26.85" hidden="false" customHeight="false" outlineLevel="0" collapsed="false">
      <c r="B3" s="18" t="s">
        <v>191</v>
      </c>
    </row>
    <row r="5" customFormat="false" ht="19.5" hidden="false" customHeight="true" outlineLevel="0" collapsed="false">
      <c r="B5" s="19" t="s">
        <v>192</v>
      </c>
    </row>
    <row r="6" customFormat="false" ht="64.9" hidden="false" customHeight="false" outlineLevel="0" collapsed="false">
      <c r="B6" s="18" t="s">
        <v>193</v>
      </c>
    </row>
    <row r="8" customFormat="false" ht="19.5" hidden="false" customHeight="true" outlineLevel="0" collapsed="false">
      <c r="B8" s="19" t="s">
        <v>194</v>
      </c>
    </row>
    <row r="9" customFormat="false" ht="141" hidden="false" customHeight="false" outlineLevel="0" collapsed="false">
      <c r="B9" s="18" t="s">
        <v>195</v>
      </c>
    </row>
    <row r="11" customFormat="false" ht="19.5" hidden="false" customHeight="true" outlineLevel="0" collapsed="false">
      <c r="B11" s="19" t="s">
        <v>196</v>
      </c>
    </row>
    <row r="12" customFormat="false" ht="26.85" hidden="false" customHeight="false" outlineLevel="0" collapsed="false">
      <c r="B12" s="18" t="s">
        <v>197</v>
      </c>
    </row>
    <row r="14" customFormat="false" ht="19.5" hidden="false" customHeight="true" outlineLevel="0" collapsed="false">
      <c r="B14" s="19" t="s">
        <v>198</v>
      </c>
    </row>
    <row r="15" customFormat="false" ht="26.85" hidden="false" customHeight="false" outlineLevel="0" collapsed="false">
      <c r="B15" s="1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2026-06-20T17:25:41Z</dcterms:created>
  <dc:creator>openpyxl</dc:creator>
  <dc:description/>
  <dc:language>en-US</dc:language>
  <cp:lastModifiedBy/>
  <dcterms:modified xsi:type="dcterms:W3CDTF">2026-06-20T17:25:43Z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